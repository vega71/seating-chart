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양식" sheetId="1" r:id="rId5"/>
    <sheet state="visible" name="1기 자동차고 1반" sheetId="2" r:id="rId6"/>
    <sheet state="visible" name="2기 자동차고 2반" sheetId="3" r:id="rId7"/>
    <sheet state="visible" name="3기 전북인공지능고" sheetId="4" r:id="rId8"/>
    <sheet state="visible" name="4기 덕암정보고" sheetId="5" r:id="rId9"/>
    <sheet state="visible" name="5기 남원용성고" sheetId="6" r:id="rId10"/>
    <sheet state="visible" name="6기 기계과 5반" sheetId="7" r:id="rId11"/>
    <sheet state="visible" name="7기 기계과 6반" sheetId="8" r:id="rId12"/>
    <sheet state="visible" name="8기 전기과 7" sheetId="9" r:id="rId13"/>
    <sheet state="visible" name="8기 전기과 7반" sheetId="10" r:id="rId14"/>
  </sheets>
  <definedNames/>
  <calcPr/>
</workbook>
</file>

<file path=xl/sharedStrings.xml><?xml version="1.0" encoding="utf-8"?>
<sst xmlns="http://schemas.openxmlformats.org/spreadsheetml/2006/main" count="308" uniqueCount="180">
  <si>
    <t>3기 전북인공지능고</t>
  </si>
  <si>
    <t>2기 자동차고 2반</t>
  </si>
  <si>
    <t>1기 자동차고 1반</t>
  </si>
  <si>
    <t>번호</t>
  </si>
  <si>
    <t>이름</t>
  </si>
  <si>
    <t>월요일</t>
  </si>
  <si>
    <t>월요일(4/6)</t>
  </si>
  <si>
    <t>화요일</t>
  </si>
  <si>
    <t>화요일(4/7)</t>
  </si>
  <si>
    <t>수요일</t>
  </si>
  <si>
    <t>수요일(4/8)</t>
  </si>
  <si>
    <t>목요일</t>
  </si>
  <si>
    <t>목요일(4/9)</t>
  </si>
  <si>
    <t>금요일</t>
  </si>
  <si>
    <t>금요일(4/10)</t>
  </si>
  <si>
    <t>결과 수</t>
  </si>
  <si>
    <t>출석 수</t>
  </si>
  <si>
    <t>미이수여부</t>
  </si>
  <si>
    <t>카이세 수이</t>
  </si>
  <si>
    <t>강은재</t>
  </si>
  <si>
    <t>공결</t>
  </si>
  <si>
    <t>강성식</t>
  </si>
  <si>
    <t>고재현</t>
  </si>
  <si>
    <t>김경민</t>
  </si>
  <si>
    <t>김태빈</t>
  </si>
  <si>
    <t>서장원</t>
  </si>
  <si>
    <t>김도훈</t>
  </si>
  <si>
    <t>공도윤(미)</t>
  </si>
  <si>
    <t>신채원</t>
  </si>
  <si>
    <t>김영준</t>
  </si>
  <si>
    <t>양지훈</t>
  </si>
  <si>
    <t>4.7종료</t>
  </si>
  <si>
    <t>김민기</t>
  </si>
  <si>
    <t>이연아</t>
  </si>
  <si>
    <t>이하람</t>
  </si>
  <si>
    <t>김지후</t>
  </si>
  <si>
    <t>장현우</t>
  </si>
  <si>
    <t>전기현</t>
  </si>
  <si>
    <t>김시우</t>
  </si>
  <si>
    <t>나종엽</t>
  </si>
  <si>
    <t>조성준</t>
  </si>
  <si>
    <t>최은유</t>
  </si>
  <si>
    <t>노태규</t>
  </si>
  <si>
    <t>최한별</t>
  </si>
  <si>
    <t>김지안</t>
  </si>
  <si>
    <t>한우주</t>
  </si>
  <si>
    <t>양진영</t>
  </si>
  <si>
    <t>홍준서</t>
  </si>
  <si>
    <t>이성호</t>
  </si>
  <si>
    <t>김성래</t>
  </si>
  <si>
    <t>김태수</t>
  </si>
  <si>
    <t>이진현</t>
  </si>
  <si>
    <t>강승호</t>
  </si>
  <si>
    <t>장성현</t>
  </si>
  <si>
    <t>임지섭</t>
  </si>
  <si>
    <t xml:space="preserve">  </t>
  </si>
  <si>
    <t>변석민</t>
  </si>
  <si>
    <t>장주원</t>
  </si>
  <si>
    <t>주영일</t>
  </si>
  <si>
    <t>비고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</si>
  <si>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</si>
  <si>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</si>
  <si>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</si>
  <si>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안율</t>
  </si>
  <si>
    <t>함예찬</t>
  </si>
  <si>
    <t>황인태</t>
  </si>
  <si>
    <t>유찬</t>
  </si>
  <si>
    <t>이은성</t>
  </si>
  <si>
    <t>이하준</t>
  </si>
  <si>
    <t>이한결</t>
  </si>
  <si>
    <t>4번 김영준 조퇴
8번 양진영 결석</t>
  </si>
  <si>
    <t>1번 강은재, 10번 이진현 지각
8번 양진영 결석</t>
  </si>
  <si>
    <t>1번 강은재, 10번 이진현 지각 &amp; 4교시 이후 미인정 조퇴
8번 양진영 결석</t>
  </si>
  <si>
    <t>1번 강은재, 10번 이진현, 8번 양진영 결석</t>
  </si>
  <si>
    <t>임현승</t>
  </si>
  <si>
    <t>한율(미)</t>
  </si>
  <si>
    <t>강성식, 김지안, 안율, 이은성 
자격증시험
공도윤, 한율 미인정결</t>
  </si>
  <si>
    <t>한율 1교시 후 미인정 조퇴
변석민 자격증시험</t>
  </si>
  <si>
    <t>김민기 자격증시험</t>
  </si>
  <si>
    <t>4기 덕암정보고</t>
  </si>
  <si>
    <t>강현우</t>
  </si>
  <si>
    <t>김동연</t>
  </si>
  <si>
    <t>김민재</t>
  </si>
  <si>
    <t>김유현</t>
  </si>
  <si>
    <t>김주원</t>
  </si>
  <si>
    <t>김중현</t>
  </si>
  <si>
    <t>박성민</t>
  </si>
  <si>
    <t>박지원</t>
  </si>
  <si>
    <t>배성재</t>
  </si>
  <si>
    <t>손경원</t>
  </si>
  <si>
    <t xml:space="preserve"> </t>
  </si>
  <si>
    <t>심의석</t>
  </si>
  <si>
    <t>양경환</t>
  </si>
  <si>
    <t>금요일(7/20일 월요일)</t>
  </si>
  <si>
    <t>오종현</t>
  </si>
  <si>
    <t>임지호</t>
  </si>
  <si>
    <t>강동완</t>
  </si>
  <si>
    <t>임한결</t>
  </si>
  <si>
    <t>전정혁</t>
  </si>
  <si>
    <t>구성록</t>
  </si>
  <si>
    <t>최신원</t>
  </si>
  <si>
    <t>한재희</t>
  </si>
  <si>
    <t>김민규</t>
  </si>
  <si>
    <t>김종수</t>
  </si>
  <si>
    <t>김태양</t>
  </si>
  <si>
    <t>11번 1교시 미인정지각</t>
  </si>
  <si>
    <t>나은호</t>
  </si>
  <si>
    <t>박현준</t>
  </si>
  <si>
    <t>6기 기계과 5반</t>
  </si>
  <si>
    <t>반위진</t>
  </si>
  <si>
    <t>선민규</t>
  </si>
  <si>
    <t>권율</t>
  </si>
  <si>
    <t>양병우</t>
  </si>
  <si>
    <t>진용호</t>
  </si>
  <si>
    <t>최강현</t>
  </si>
  <si>
    <t>김명준</t>
  </si>
  <si>
    <t>최우진</t>
  </si>
  <si>
    <t>김장호</t>
  </si>
  <si>
    <t>김현성</t>
  </si>
  <si>
    <t>박정현</t>
  </si>
  <si>
    <t>박주경</t>
  </si>
  <si>
    <t>박주형</t>
  </si>
  <si>
    <t>박채빈</t>
  </si>
  <si>
    <t>서재원</t>
  </si>
  <si>
    <t>송현우</t>
  </si>
  <si>
    <t>김종수 질병결</t>
  </si>
  <si>
    <t>나은호, 박현준 미인정결,
진용호 질병결</t>
  </si>
  <si>
    <t>강동완, 김민규 질병결</t>
  </si>
  <si>
    <t>신희재</t>
  </si>
  <si>
    <t>윤서진</t>
  </si>
  <si>
    <t>이윤호</t>
  </si>
  <si>
    <t>7기 기계과 6반</t>
  </si>
  <si>
    <t>임찬영</t>
  </si>
  <si>
    <t>정현우</t>
  </si>
  <si>
    <t>곽민준</t>
  </si>
  <si>
    <t>조운휘</t>
  </si>
  <si>
    <t>황연우</t>
  </si>
  <si>
    <t>황희훈</t>
  </si>
  <si>
    <t>김상준</t>
  </si>
  <si>
    <t>김세헌</t>
  </si>
  <si>
    <t>김유빈</t>
  </si>
  <si>
    <t>김은찬</t>
  </si>
  <si>
    <t>김일권</t>
  </si>
  <si>
    <t>8기 전기과 7</t>
  </si>
  <si>
    <t>김재민</t>
  </si>
  <si>
    <t>김준서</t>
  </si>
  <si>
    <t>김태호</t>
  </si>
  <si>
    <t>김현빈</t>
  </si>
  <si>
    <t>문순호</t>
  </si>
  <si>
    <t>박소찬</t>
  </si>
  <si>
    <t>서동우</t>
  </si>
  <si>
    <t>서지후</t>
  </si>
  <si>
    <t>석민권</t>
  </si>
  <si>
    <t>유건빈</t>
  </si>
  <si>
    <t>윤주혁</t>
  </si>
  <si>
    <t>이상윤</t>
  </si>
  <si>
    <t>이제형</t>
  </si>
  <si>
    <t>정현욱</t>
  </si>
  <si>
    <t>한재훈</t>
  </si>
  <si>
    <t>8기 전기과 7반</t>
  </si>
  <si>
    <t>강태헌</t>
  </si>
  <si>
    <t>김민석</t>
  </si>
  <si>
    <t>김성호</t>
  </si>
  <si>
    <t>김찬민</t>
  </si>
  <si>
    <t>박지훈</t>
  </si>
  <si>
    <t>박한솔</t>
  </si>
  <si>
    <t>선채우</t>
  </si>
  <si>
    <t>양민석</t>
  </si>
  <si>
    <t>이건우</t>
  </si>
  <si>
    <t>이승환</t>
  </si>
  <si>
    <t>이시후</t>
  </si>
  <si>
    <t>이주호</t>
  </si>
  <si>
    <t>이지민</t>
  </si>
  <si>
    <t>이채우</t>
  </si>
  <si>
    <t>이현빈</t>
  </si>
  <si>
    <t>임세진</t>
  </si>
  <si>
    <t>장서준</t>
  </si>
  <si>
    <t>최광석</t>
  </si>
  <si>
    <t>하승민</t>
  </si>
  <si>
    <t>이정준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</si>
</sst>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0"/>
      <name val="Arial"/>
      <scheme val="minor"/>
    </font>
    <font>
      <b/>
      <color theme="1"/>
      <name val="Arial"/>
      <scheme val="minor"/>
    </font>
    <font>
      <b/>
      <sz val="12.0"/>
      <color rgb="FF000000"/>
      <name val="&quot;맑은 고딕&quot;"/>
    </font>
  </fonts>
  <fills count="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/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readingOrder="0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horizontal="center"/>
    </xf>
    <xf borderId="0" fillId="0" fontId="3" numFmtId="0" xfId="0" applyAlignment="1" applyFont="1">
      <alignment horizontal="center" readingOrder="0"/>
    </xf>
    <xf borderId="2" fillId="4" fontId="1" numFmtId="0" xfId="0" applyAlignment="1" applyBorder="1" applyFill="1" applyFont="1">
      <alignment horizontal="center" readingOrder="0"/>
    </xf>
    <xf borderId="2" fillId="4" fontId="1" numFmtId="0" xfId="0" applyAlignment="1" applyBorder="1" applyFill="1" applyFont="1">
      <alignment horizontal="center"/>
    </xf>
    <xf borderId="0" fillId="2" fontId="1" numFmtId="0" xfId="0" applyFill="1" applyFont="1"/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readingOrder="0" vertical="center"/>
    </xf>
    <xf borderId="2" fillId="0" fontId="1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0</xdr:rowOff>
    </xdr:from>
    <xdr:ext cx="4876800" cy="68580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/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29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54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1</v>
      </c>
      <c r="AJ16" s="1">
        <f t="shared" si="2"/>
        <v>31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65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1" width="6.88"/>
  </cols>
  <sheetData>
    <row r="1">
      <c r="A1" s="1" t="s">
        <v>2</v>
      </c>
      <c r="C1" s="1"/>
      <c r="J1" s="1"/>
      <c r="Q1" s="1"/>
      <c r="X1" s="1"/>
      <c r="AE1" s="1"/>
      <c r="AK1" s="1"/>
      <c r="AL1" s="1"/>
      <c r="AM1" s="1"/>
      <c r="AN1" s="1"/>
      <c r="AO1" s="1"/>
    </row>
    <row r="2">
      <c r="A2" s="1" t="s">
        <v>3</v>
      </c>
      <c r="B2" s="1" t="s">
        <v>4</v>
      </c>
      <c r="C2" s="2" t="s">
        <v>6</v>
      </c>
      <c r="I2" s="3" t="s">
        <v>8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  <c r="AO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4"/>
      <c r="AM3" s="7" t="s">
        <v>20</v>
      </c>
      <c r="AN3" s="4"/>
      <c r="AO3" s="4"/>
    </row>
    <row r="4">
      <c r="A4" s="5">
        <v>1.0</v>
      </c>
      <c r="B4" s="5" t="s">
        <v>21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9" t="b">
        <v>0</v>
      </c>
      <c r="AA4" s="9" t="b">
        <v>0</v>
      </c>
      <c r="AB4" s="9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1">
        <v>6.0</v>
      </c>
      <c r="AN4" s="4"/>
      <c r="AO4" s="4"/>
    </row>
    <row r="5">
      <c r="A5" s="1">
        <v>2.0</v>
      </c>
      <c r="B5" s="1" t="s">
        <v>27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13</v>
      </c>
      <c r="AJ5" s="1">
        <f t="shared" si="2"/>
        <v>19</v>
      </c>
      <c r="AK5" s="4" t="str">
        <f t="shared" si="3"/>
        <v>미이수</v>
      </c>
      <c r="AL5" s="1" t="s">
        <v>31</v>
      </c>
      <c r="AM5" s="1"/>
      <c r="AN5" s="1"/>
      <c r="AO5" s="1"/>
    </row>
    <row r="6">
      <c r="A6" s="1">
        <v>3.0</v>
      </c>
      <c r="B6" s="1" t="s">
        <v>32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1">
        <v>7.0</v>
      </c>
      <c r="AN6" s="4"/>
      <c r="AO6" s="4"/>
    </row>
    <row r="7">
      <c r="A7" s="1">
        <v>4.0</v>
      </c>
      <c r="B7" s="1" t="s">
        <v>38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  <c r="AO7" s="4"/>
    </row>
    <row r="8">
      <c r="A8" s="16">
        <v>5.0</v>
      </c>
      <c r="B8" s="16" t="s">
        <v>44</v>
      </c>
      <c r="C8" s="25" t="b">
        <v>0</v>
      </c>
      <c r="D8" s="25" t="b">
        <v>0</v>
      </c>
      <c r="E8" s="25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  <c r="AO8" s="4"/>
    </row>
    <row r="9">
      <c r="A9" s="1">
        <v>6.0</v>
      </c>
      <c r="B9" s="1" t="s">
        <v>50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  <c r="AO9" s="4"/>
    </row>
    <row r="10">
      <c r="A10" s="1">
        <v>7.0</v>
      </c>
      <c r="B10" s="1" t="s">
        <v>56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  <c r="AO10" s="4"/>
    </row>
    <row r="11">
      <c r="A11" s="1">
        <v>8.0</v>
      </c>
      <c r="B11" s="1" t="s">
        <v>63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1">
        <v>6.0</v>
      </c>
      <c r="AN11" s="4"/>
      <c r="AO11" s="4"/>
    </row>
    <row r="12">
      <c r="A12" s="1">
        <v>9.0</v>
      </c>
      <c r="B12" s="1" t="s">
        <v>66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  <c r="AO12" s="4"/>
    </row>
    <row r="13">
      <c r="A13" s="1">
        <v>10.0</v>
      </c>
      <c r="B13" s="1" t="s">
        <v>67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1">
        <v>6.0</v>
      </c>
      <c r="AN13" s="4"/>
      <c r="AO13" s="4"/>
    </row>
    <row r="14">
      <c r="A14" s="5">
        <v>11.0</v>
      </c>
      <c r="B14" s="5" t="s">
        <v>68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  <c r="AO14" s="4"/>
    </row>
    <row r="15">
      <c r="A15" s="1">
        <v>12.0</v>
      </c>
      <c r="B15" s="1" t="s">
        <v>69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  <c r="AO15" s="4"/>
    </row>
    <row r="16">
      <c r="A16" s="1">
        <v>13.0</v>
      </c>
      <c r="B16" s="1" t="s">
        <v>74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  <c r="AO16" s="4"/>
    </row>
    <row r="17">
      <c r="A17" s="1">
        <v>14.0</v>
      </c>
      <c r="B17" s="1" t="s">
        <v>75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13</v>
      </c>
      <c r="AJ17" s="1">
        <f t="shared" si="2"/>
        <v>19</v>
      </c>
      <c r="AK17" s="4" t="str">
        <f t="shared" si="3"/>
        <v>미이수</v>
      </c>
      <c r="AL17" s="1" t="s">
        <v>31</v>
      </c>
      <c r="AM17" s="1"/>
      <c r="AN17" s="1"/>
      <c r="AO17" s="1"/>
    </row>
    <row r="18">
      <c r="A18" s="16">
        <v>15.0</v>
      </c>
      <c r="B18" s="34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  <c r="AO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  <c r="AO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  <c r="AO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  <c r="AO21" s="4"/>
    </row>
    <row r="22">
      <c r="A22" s="1">
        <v>19.0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32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32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7.25" customHeight="1">
      <c r="A25" s="30" t="s">
        <v>59</v>
      </c>
      <c r="C25" s="33" t="s">
        <v>76</v>
      </c>
      <c r="I25" s="33" t="s">
        <v>77</v>
      </c>
      <c r="P25" s="35"/>
      <c r="V25" s="33" t="s">
        <v>78</v>
      </c>
    </row>
  </sheetData>
  <mergeCells count="17">
    <mergeCell ref="C1:I1"/>
    <mergeCell ref="C2:H2"/>
    <mergeCell ref="A25:B25"/>
    <mergeCell ref="C25:H25"/>
    <mergeCell ref="I25:O25"/>
    <mergeCell ref="I2:O2"/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</v>
      </c>
      <c r="C4" s="6" t="b">
        <v>1</v>
      </c>
      <c r="D4" s="6" t="b">
        <v>1</v>
      </c>
      <c r="E4" s="6" t="b">
        <v>1</v>
      </c>
      <c r="F4" s="6" t="b">
        <v>1</v>
      </c>
      <c r="G4" s="6" t="b">
        <v>1</v>
      </c>
      <c r="H4" s="6" t="b">
        <v>1</v>
      </c>
      <c r="I4" s="9" t="b">
        <v>1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1</v>
      </c>
      <c r="Q4" s="6" t="b">
        <v>0</v>
      </c>
      <c r="R4" s="6" t="b">
        <v>0</v>
      </c>
      <c r="S4" s="6" t="b">
        <v>1</v>
      </c>
      <c r="T4" s="6" t="b">
        <v>1</v>
      </c>
      <c r="U4" s="6" t="b">
        <v>1</v>
      </c>
      <c r="V4" s="9" t="b">
        <v>1</v>
      </c>
      <c r="W4" s="9" t="b">
        <v>0</v>
      </c>
      <c r="X4" s="9" t="b">
        <v>0</v>
      </c>
      <c r="Y4" s="9" t="b">
        <v>1</v>
      </c>
      <c r="Z4" s="9" t="b">
        <v>1</v>
      </c>
      <c r="AA4" s="9" t="b">
        <v>1</v>
      </c>
      <c r="AB4" s="9" t="b">
        <v>1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1">COUNTIF(C4:AH4, TRUE)</f>
        <v>22</v>
      </c>
      <c r="AJ4" s="1">
        <f t="shared" ref="AJ4:AJ23" si="2">32-AI4</f>
        <v>10</v>
      </c>
      <c r="AK4" s="4" t="str">
        <f t="shared" ref="AK4:AK23" si="3">IF(AJ4 &lt; 32 * (2/3), "미이수", "")</f>
        <v>미이수</v>
      </c>
      <c r="AL4" s="4"/>
      <c r="AM4" s="4"/>
      <c r="AN4" s="4"/>
    </row>
    <row r="5">
      <c r="A5" s="1">
        <v>2.0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29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3</v>
      </c>
      <c r="AJ7" s="1">
        <f t="shared" si="2"/>
        <v>29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46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1"/>
        <v>32</v>
      </c>
      <c r="AJ11" s="1">
        <f t="shared" si="2"/>
        <v>0</v>
      </c>
      <c r="AK11" s="4" t="str">
        <f t="shared" si="3"/>
        <v>미이수</v>
      </c>
      <c r="AL11" s="4"/>
      <c r="AM11" s="4"/>
      <c r="AN11" s="4"/>
    </row>
    <row r="12">
      <c r="A12" s="1">
        <v>9.0</v>
      </c>
      <c r="B12" s="1" t="s">
        <v>48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51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1"/>
        <v>22</v>
      </c>
      <c r="AJ13" s="1">
        <f t="shared" si="2"/>
        <v>10</v>
      </c>
      <c r="AK13" s="4" t="str">
        <f t="shared" si="3"/>
        <v>미이수</v>
      </c>
      <c r="AL13" s="4"/>
      <c r="AM13" s="4"/>
      <c r="AN13" s="4"/>
    </row>
    <row r="14">
      <c r="A14" s="5">
        <v>11.0</v>
      </c>
      <c r="B14" s="5" t="s">
        <v>54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9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65</v>
      </c>
      <c r="C18" s="18" t="b">
        <v>1</v>
      </c>
      <c r="D18" s="18" t="b">
        <v>1</v>
      </c>
      <c r="E18" s="18" t="b">
        <v>1</v>
      </c>
      <c r="F18" s="18" t="b">
        <v>1</v>
      </c>
      <c r="G18" s="18" t="b">
        <v>1</v>
      </c>
      <c r="H18" s="18" t="b">
        <v>1</v>
      </c>
      <c r="I18" s="20" t="b">
        <v>1</v>
      </c>
      <c r="J18" s="20" t="b">
        <v>1</v>
      </c>
      <c r="K18" s="20" t="b">
        <v>1</v>
      </c>
      <c r="L18" s="20" t="b">
        <v>1</v>
      </c>
      <c r="M18" s="20" t="b">
        <v>1</v>
      </c>
      <c r="N18" s="20" t="b">
        <v>1</v>
      </c>
      <c r="O18" s="20" t="b">
        <v>1</v>
      </c>
      <c r="P18" s="18" t="b">
        <v>1</v>
      </c>
      <c r="Q18" s="18" t="b">
        <v>1</v>
      </c>
      <c r="R18" s="18" t="b">
        <v>1</v>
      </c>
      <c r="S18" s="18" t="b">
        <v>1</v>
      </c>
      <c r="T18" s="18" t="b">
        <v>1</v>
      </c>
      <c r="U18" s="18" t="b">
        <v>1</v>
      </c>
      <c r="V18" s="20" t="b">
        <v>1</v>
      </c>
      <c r="W18" s="20" t="b">
        <v>1</v>
      </c>
      <c r="X18" s="20" t="b">
        <v>1</v>
      </c>
      <c r="Y18" s="20" t="b">
        <v>1</v>
      </c>
      <c r="Z18" s="20" t="b">
        <v>1</v>
      </c>
      <c r="AA18" s="20" t="b">
        <v>1</v>
      </c>
      <c r="AB18" s="20" t="b">
        <v>1</v>
      </c>
      <c r="AC18" s="18" t="b">
        <v>1</v>
      </c>
      <c r="AD18" s="18" t="b">
        <v>1</v>
      </c>
      <c r="AE18" s="18" t="b">
        <v>1</v>
      </c>
      <c r="AF18" s="18" t="b">
        <v>1</v>
      </c>
      <c r="AG18" s="18" t="b">
        <v>1</v>
      </c>
      <c r="AH18" s="18" t="b">
        <v>1</v>
      </c>
      <c r="AI18" s="4">
        <f t="shared" si="1"/>
        <v>32</v>
      </c>
      <c r="AJ18" s="1">
        <f t="shared" si="2"/>
        <v>0</v>
      </c>
      <c r="AK18" s="4" t="str">
        <f t="shared" si="3"/>
        <v>미이수</v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32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32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  <c r="C25" s="33" t="s">
        <v>70</v>
      </c>
      <c r="I25" s="33" t="s">
        <v>71</v>
      </c>
      <c r="P25" s="31" t="s">
        <v>72</v>
      </c>
      <c r="V25" s="31" t="s">
        <v>72</v>
      </c>
      <c r="AC25" s="31" t="s">
        <v>73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9.13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18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22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24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25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28</v>
      </c>
      <c r="C8" s="17" t="b">
        <v>0</v>
      </c>
      <c r="D8" s="18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30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33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34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36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37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40</v>
      </c>
      <c r="C14" s="10" t="b">
        <v>0</v>
      </c>
      <c r="D14" s="10" t="b">
        <v>0</v>
      </c>
      <c r="E14" s="21" t="b">
        <v>0</v>
      </c>
      <c r="F14" s="21" t="b">
        <v>0</v>
      </c>
      <c r="G14" s="21" t="b">
        <v>0</v>
      </c>
      <c r="H14" s="21" t="b">
        <v>0</v>
      </c>
      <c r="I14" s="10" t="b">
        <v>0</v>
      </c>
      <c r="J14" s="21" t="b">
        <v>0</v>
      </c>
      <c r="K14" s="21" t="b">
        <v>0</v>
      </c>
      <c r="L14" s="21" t="b">
        <v>0</v>
      </c>
      <c r="M14" s="21" t="b">
        <v>0</v>
      </c>
      <c r="N14" s="21" t="b">
        <v>0</v>
      </c>
      <c r="O14" s="21" t="b">
        <v>0</v>
      </c>
      <c r="P14" s="10" t="b">
        <v>0</v>
      </c>
      <c r="Q14" s="21" t="b">
        <v>0</v>
      </c>
      <c r="R14" s="21" t="b">
        <v>0</v>
      </c>
      <c r="S14" s="21" t="b">
        <v>0</v>
      </c>
      <c r="T14" s="21" t="b">
        <v>0</v>
      </c>
      <c r="U14" s="21" t="b">
        <v>0</v>
      </c>
      <c r="V14" s="21" t="b">
        <v>0</v>
      </c>
      <c r="W14" s="21" t="b">
        <v>0</v>
      </c>
      <c r="X14" s="21" t="b">
        <v>0</v>
      </c>
      <c r="Y14" s="21" t="b">
        <v>0</v>
      </c>
      <c r="Z14" s="21" t="b">
        <v>0</v>
      </c>
      <c r="AA14" s="21" t="b">
        <v>0</v>
      </c>
      <c r="AB14" s="21" t="b">
        <v>0</v>
      </c>
      <c r="AC14" s="22" t="b">
        <v>1</v>
      </c>
      <c r="AD14" s="22" t="b">
        <v>1</v>
      </c>
      <c r="AE14" s="22" t="b">
        <v>1</v>
      </c>
      <c r="AF14" s="22" t="b">
        <v>1</v>
      </c>
      <c r="AG14" s="22" t="b">
        <v>1</v>
      </c>
      <c r="AH14" s="22" t="b">
        <v>1</v>
      </c>
      <c r="AI14" s="23">
        <f t="shared" si="1"/>
        <v>6</v>
      </c>
      <c r="AJ14" s="1">
        <f t="shared" si="2"/>
        <v>26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41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24" t="s">
        <v>43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45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47</v>
      </c>
      <c r="C18" s="17" t="b">
        <v>0</v>
      </c>
      <c r="D18" s="18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5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  <c r="O18" s="26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49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52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53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1" t="s">
        <v>55</v>
      </c>
    </row>
    <row r="22">
      <c r="A22" s="1">
        <v>19.0</v>
      </c>
      <c r="B22" s="4"/>
      <c r="C22" s="27" t="b">
        <v>0</v>
      </c>
      <c r="D22" s="28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8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  <c r="C25" s="31" t="s">
        <v>60</v>
      </c>
      <c r="I25" s="31" t="s">
        <v>61</v>
      </c>
      <c r="P25" s="31" t="s">
        <v>60</v>
      </c>
      <c r="V25" s="31" t="s">
        <v>60</v>
      </c>
      <c r="AC25" s="31" t="s">
        <v>62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79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80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82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83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84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85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86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87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88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89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91</v>
      </c>
      <c r="C14" s="6" t="b">
        <v>1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9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6" t="b">
        <v>1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2</v>
      </c>
      <c r="AJ14" s="1">
        <f t="shared" si="2"/>
        <v>30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92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94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95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97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98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100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101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  <c r="C25" s="33" t="s">
        <v>105</v>
      </c>
      <c r="I25" s="36"/>
      <c r="P25" s="36"/>
      <c r="V25" s="36"/>
      <c r="AC25" s="33" t="s">
        <v>105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90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93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96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1">COUNTIF(C4:AH4, TRUE)</f>
        <v>6</v>
      </c>
      <c r="AJ4" s="1">
        <f t="shared" ref="AJ4:AJ23" si="2">32-AI4</f>
        <v>26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99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102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6</v>
      </c>
      <c r="AJ6" s="1">
        <f t="shared" si="2"/>
        <v>26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103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6</v>
      </c>
      <c r="AJ7" s="1">
        <f t="shared" si="2"/>
        <v>26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106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7</v>
      </c>
      <c r="AJ9" s="1">
        <f t="shared" si="2"/>
        <v>25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7</v>
      </c>
      <c r="AJ10" s="1">
        <f t="shared" si="2"/>
        <v>25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109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110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112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113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9" t="b">
        <v>1</v>
      </c>
      <c r="W14" s="9" t="b">
        <v>1</v>
      </c>
      <c r="X14" s="9" t="b">
        <v>1</v>
      </c>
      <c r="Y14" s="9" t="b">
        <v>1</v>
      </c>
      <c r="Z14" s="9" t="b">
        <v>1</v>
      </c>
      <c r="AA14" s="9" t="b">
        <v>1</v>
      </c>
      <c r="AB14" s="9" t="b">
        <v>1</v>
      </c>
      <c r="AC14" s="6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7</v>
      </c>
      <c r="AJ14" s="1">
        <f t="shared" si="2"/>
        <v>25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114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116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  <c r="C25" s="36"/>
      <c r="I25" s="36"/>
      <c r="P25" s="33" t="s">
        <v>125</v>
      </c>
      <c r="V25" s="33" t="s">
        <v>126</v>
      </c>
      <c r="AC25" s="33" t="s">
        <v>127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108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111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6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11" t="b">
        <v>0</v>
      </c>
      <c r="AA4" s="11" t="b">
        <v>0</v>
      </c>
      <c r="AB4" s="11" t="b">
        <v>0</v>
      </c>
      <c r="AC4" s="6" t="b">
        <v>0</v>
      </c>
      <c r="AD4" s="6" t="b">
        <v>0</v>
      </c>
      <c r="AE4" s="6" t="b">
        <v>0</v>
      </c>
      <c r="AF4" s="6" t="b">
        <v>0</v>
      </c>
      <c r="AG4" s="6" t="b">
        <v>0</v>
      </c>
      <c r="AH4" s="6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115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117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1"/>
        <v>2</v>
      </c>
      <c r="AJ6" s="1">
        <f t="shared" si="2"/>
        <v>30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118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1"/>
        <v>2</v>
      </c>
      <c r="AJ7" s="1">
        <f t="shared" si="2"/>
        <v>30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119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1</v>
      </c>
      <c r="AH8" s="18" t="b">
        <v>1</v>
      </c>
      <c r="AI8" s="4">
        <f t="shared" si="1"/>
        <v>2</v>
      </c>
      <c r="AJ8" s="1">
        <f t="shared" si="2"/>
        <v>30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120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1"/>
        <v>2</v>
      </c>
      <c r="AJ9" s="1">
        <f t="shared" si="2"/>
        <v>30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121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122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123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124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8</v>
      </c>
      <c r="AJ13" s="1">
        <f t="shared" si="2"/>
        <v>24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128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6" t="b">
        <v>0</v>
      </c>
      <c r="Q14" s="6" t="b">
        <v>0</v>
      </c>
      <c r="R14" s="6" t="b">
        <v>0</v>
      </c>
      <c r="S14" s="6" t="b">
        <v>0</v>
      </c>
      <c r="T14" s="8" t="b">
        <v>0</v>
      </c>
      <c r="U14" s="8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11" t="b">
        <v>0</v>
      </c>
      <c r="AA14" s="11" t="b">
        <v>0</v>
      </c>
      <c r="AB14" s="11" t="b">
        <v>0</v>
      </c>
      <c r="AC14" s="6" t="b">
        <v>0</v>
      </c>
      <c r="AD14" s="6" t="b">
        <v>0</v>
      </c>
      <c r="AE14" s="6" t="b">
        <v>0</v>
      </c>
      <c r="AF14" s="6" t="b">
        <v>0</v>
      </c>
      <c r="AG14" s="6" t="b">
        <v>0</v>
      </c>
      <c r="AH14" s="6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129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1"/>
        <v>2</v>
      </c>
      <c r="AJ15" s="1">
        <f t="shared" si="2"/>
        <v>30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130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132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133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1</v>
      </c>
      <c r="AH18" s="18" t="b">
        <v>1</v>
      </c>
      <c r="AI18" s="4">
        <f t="shared" si="1"/>
        <v>2</v>
      </c>
      <c r="AJ18" s="1">
        <f t="shared" si="2"/>
        <v>30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135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136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137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7" t="b">
        <v>0</v>
      </c>
      <c r="U22" s="27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7" t="b">
        <v>0</v>
      </c>
      <c r="U23" s="27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  <c r="P25" s="35" t="b">
        <v>0</v>
      </c>
      <c r="V25" s="35" t="b">
        <v>0</v>
      </c>
      <c r="AC25" s="35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131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134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9" t="b">
        <v>0</v>
      </c>
      <c r="AA4" s="9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4" si="1">COUNTIF(C4:AH4, TRUE)</f>
        <v>0</v>
      </c>
      <c r="AJ4" s="1">
        <f t="shared" ref="AJ4:AJ24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138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139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3" t="b">
        <v>0</v>
      </c>
      <c r="AA6" s="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140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141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8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142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11</v>
      </c>
      <c r="AJ9" s="1">
        <f t="shared" si="2"/>
        <v>21</v>
      </c>
      <c r="AK9" s="4" t="str">
        <f t="shared" si="3"/>
        <v>미이수</v>
      </c>
      <c r="AL9" s="4"/>
      <c r="AM9" s="4"/>
      <c r="AN9" s="4"/>
    </row>
    <row r="10">
      <c r="A10" s="1">
        <v>7.0</v>
      </c>
      <c r="B10" s="1" t="s">
        <v>144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145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146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147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2" t="b">
        <v>0</v>
      </c>
      <c r="S13" s="12" t="b">
        <v>0</v>
      </c>
      <c r="T13" s="12" t="b">
        <v>0</v>
      </c>
      <c r="U13" s="2" t="b">
        <v>1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1</v>
      </c>
      <c r="AJ13" s="1">
        <f t="shared" si="2"/>
        <v>31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148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6" t="b">
        <v>0</v>
      </c>
      <c r="S14" s="8" t="b">
        <v>0</v>
      </c>
      <c r="T14" s="8" t="b">
        <v>0</v>
      </c>
      <c r="U14" s="8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149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150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151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152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8" t="b">
        <v>0</v>
      </c>
      <c r="S18" s="17" t="b">
        <v>0</v>
      </c>
      <c r="T18" s="17" t="b">
        <v>0</v>
      </c>
      <c r="U18" s="18" t="b">
        <v>1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1</v>
      </c>
      <c r="AJ18" s="1">
        <f t="shared" si="2"/>
        <v>31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153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2" t="b">
        <v>1</v>
      </c>
      <c r="V19" s="3" t="b">
        <v>1</v>
      </c>
      <c r="W19" s="3" t="b">
        <v>1</v>
      </c>
      <c r="X19" s="3" t="b">
        <v>1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8</v>
      </c>
      <c r="AJ19" s="1">
        <f t="shared" si="2"/>
        <v>24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154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12" t="b">
        <v>0</v>
      </c>
      <c r="T20" s="12" t="b">
        <v>0</v>
      </c>
      <c r="U20" s="12" t="b">
        <v>0</v>
      </c>
      <c r="V20" s="3" t="b">
        <v>1</v>
      </c>
      <c r="W20" s="3" t="b">
        <v>1</v>
      </c>
      <c r="X20" s="3" t="b">
        <v>1</v>
      </c>
      <c r="Y20" s="3" t="b">
        <v>1</v>
      </c>
      <c r="Z20" s="3" t="b">
        <v>1</v>
      </c>
      <c r="AA20" s="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5</v>
      </c>
      <c r="AJ20" s="1">
        <f t="shared" si="2"/>
        <v>27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155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156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8" t="b">
        <v>0</v>
      </c>
      <c r="S22" s="27" t="b">
        <v>0</v>
      </c>
      <c r="T22" s="27" t="b">
        <v>0</v>
      </c>
      <c r="U22" s="27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157</v>
      </c>
      <c r="C23" s="28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8" t="b">
        <v>0</v>
      </c>
      <c r="S23" s="27" t="b">
        <v>0</v>
      </c>
      <c r="T23" s="27" t="b">
        <v>0</v>
      </c>
      <c r="U23" s="27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4">
      <c r="A24" s="1">
        <v>21.0</v>
      </c>
      <c r="B24" s="1" t="s">
        <v>158</v>
      </c>
      <c r="C24" s="28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9" t="b">
        <v>0</v>
      </c>
      <c r="J24" s="29" t="b">
        <v>0</v>
      </c>
      <c r="K24" s="29" t="b">
        <v>0</v>
      </c>
      <c r="L24" s="29" t="b">
        <v>0</v>
      </c>
      <c r="M24" s="29" t="b">
        <v>0</v>
      </c>
      <c r="N24" s="29" t="b">
        <v>0</v>
      </c>
      <c r="O24" s="29" t="b">
        <v>0</v>
      </c>
      <c r="P24" s="27" t="b">
        <v>0</v>
      </c>
      <c r="Q24" s="27" t="b">
        <v>0</v>
      </c>
      <c r="R24" s="28" t="b">
        <v>0</v>
      </c>
      <c r="S24" s="27" t="b">
        <v>0</v>
      </c>
      <c r="T24" s="27" t="b">
        <v>0</v>
      </c>
      <c r="U24" s="27" t="b">
        <v>0</v>
      </c>
      <c r="V24" s="32" t="b">
        <v>0</v>
      </c>
      <c r="W24" s="32" t="b">
        <v>0</v>
      </c>
      <c r="X24" s="32" t="b">
        <v>0</v>
      </c>
      <c r="Y24" s="32" t="b">
        <v>0</v>
      </c>
      <c r="Z24" s="32" t="b">
        <v>0</v>
      </c>
      <c r="AA24" s="32" t="b">
        <v>0</v>
      </c>
      <c r="AB24" s="29" t="b">
        <v>0</v>
      </c>
      <c r="AC24" s="27" t="b">
        <v>0</v>
      </c>
      <c r="AD24" s="27" t="b">
        <v>0</v>
      </c>
      <c r="AE24" s="27" t="b">
        <v>0</v>
      </c>
      <c r="AF24" s="27" t="b">
        <v>0</v>
      </c>
      <c r="AG24" s="27" t="b">
        <v>0</v>
      </c>
      <c r="AH24" s="27" t="b">
        <v>0</v>
      </c>
      <c r="AI24" s="4">
        <f t="shared" si="1"/>
        <v>0</v>
      </c>
      <c r="AJ24" s="1">
        <f t="shared" si="2"/>
        <v>32</v>
      </c>
    </row>
    <row r="25" ht="49.5" customHeight="1">
      <c r="B25" s="30" t="s">
        <v>59</v>
      </c>
      <c r="V25" s="35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143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29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54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1</v>
      </c>
      <c r="AJ16" s="1">
        <f t="shared" si="2"/>
        <v>31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65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159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160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161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162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163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164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165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166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167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168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169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170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171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172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173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174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175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176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177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178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37" t="s">
        <v>179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0" t="s">
        <v>59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