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13F9A3B4-B161-49A8-A68D-5A54FAE3C053}" xr6:coauthVersionLast="47" xr6:coauthVersionMax="47" xr10:uidLastSave="{00000000-0000-0000-0000-000000000000}"/>
  <bookViews>
    <workbookView xWindow="28680" yWindow="-3420" windowWidth="29040" windowHeight="15720" activeTab="6" xr2:uid="{00000000-000D-0000-FFFF-FFFF00000000}"/>
  </bookViews>
  <sheets>
    <sheet name="양식" sheetId="1" r:id="rId1"/>
    <sheet name="1기 자동차고 1반" sheetId="2" r:id="rId2"/>
    <sheet name="2기 자동차고 2반" sheetId="3" r:id="rId3"/>
    <sheet name="3기 전북인공지능고" sheetId="4" r:id="rId4"/>
    <sheet name="4기 덕암정보고" sheetId="5" r:id="rId5"/>
    <sheet name="5기 남원용성고" sheetId="6" r:id="rId6"/>
    <sheet name="6기 기계과 5반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23" i="7" l="1"/>
  <c r="AJ23" i="7" s="1"/>
  <c r="AK23" i="7" s="1"/>
  <c r="AJ22" i="7"/>
  <c r="AK22" i="7" s="1"/>
  <c r="AI22" i="7"/>
  <c r="AJ21" i="7"/>
  <c r="AK21" i="7" s="1"/>
  <c r="AI21" i="7"/>
  <c r="AI20" i="7"/>
  <c r="AJ20" i="7" s="1"/>
  <c r="AK20" i="7" s="1"/>
  <c r="AI19" i="7"/>
  <c r="AJ19" i="7" s="1"/>
  <c r="AK19" i="7" s="1"/>
  <c r="AI18" i="7"/>
  <c r="AJ18" i="7" s="1"/>
  <c r="AK18" i="7" s="1"/>
  <c r="AI17" i="7"/>
  <c r="AJ17" i="7" s="1"/>
  <c r="AK17" i="7" s="1"/>
  <c r="AJ16" i="7"/>
  <c r="AK16" i="7" s="1"/>
  <c r="AI16" i="7"/>
  <c r="AI15" i="7"/>
  <c r="AJ15" i="7" s="1"/>
  <c r="AK15" i="7" s="1"/>
  <c r="AI14" i="7"/>
  <c r="AJ14" i="7" s="1"/>
  <c r="AK14" i="7" s="1"/>
  <c r="AI13" i="7"/>
  <c r="AJ13" i="7" s="1"/>
  <c r="AK13" i="7" s="1"/>
  <c r="AI12" i="7"/>
  <c r="AJ12" i="7" s="1"/>
  <c r="AK12" i="7" s="1"/>
  <c r="AI11" i="7"/>
  <c r="AJ11" i="7" s="1"/>
  <c r="AK11" i="7" s="1"/>
  <c r="AI10" i="7"/>
  <c r="AJ10" i="7" s="1"/>
  <c r="AK10" i="7" s="1"/>
  <c r="AI9" i="7"/>
  <c r="AJ9" i="7" s="1"/>
  <c r="AK9" i="7" s="1"/>
  <c r="AI8" i="7"/>
  <c r="AJ8" i="7" s="1"/>
  <c r="AK8" i="7" s="1"/>
  <c r="AI7" i="7"/>
  <c r="AJ7" i="7" s="1"/>
  <c r="AK7" i="7" s="1"/>
  <c r="AJ6" i="7"/>
  <c r="AK6" i="7" s="1"/>
  <c r="AI6" i="7"/>
  <c r="AJ5" i="7"/>
  <c r="AK5" i="7" s="1"/>
  <c r="AI5" i="7"/>
  <c r="AJ4" i="7"/>
  <c r="AK4" i="7" s="1"/>
  <c r="AI4" i="7"/>
  <c r="AI23" i="6"/>
  <c r="AJ23" i="6" s="1"/>
  <c r="AK23" i="6" s="1"/>
  <c r="AJ22" i="6"/>
  <c r="AK22" i="6" s="1"/>
  <c r="AI22" i="6"/>
  <c r="AJ21" i="6"/>
  <c r="AK21" i="6" s="1"/>
  <c r="AI21" i="6"/>
  <c r="AI20" i="6"/>
  <c r="AJ20" i="6" s="1"/>
  <c r="AK20" i="6" s="1"/>
  <c r="AI19" i="6"/>
  <c r="AJ19" i="6" s="1"/>
  <c r="AK19" i="6" s="1"/>
  <c r="AI18" i="6"/>
  <c r="AJ18" i="6" s="1"/>
  <c r="AK18" i="6" s="1"/>
  <c r="AI17" i="6"/>
  <c r="AJ17" i="6" s="1"/>
  <c r="AK17" i="6" s="1"/>
  <c r="AJ16" i="6"/>
  <c r="AK16" i="6" s="1"/>
  <c r="AI16" i="6"/>
  <c r="AI15" i="6"/>
  <c r="AJ15" i="6" s="1"/>
  <c r="AK15" i="6" s="1"/>
  <c r="AI14" i="6"/>
  <c r="AJ14" i="6" s="1"/>
  <c r="AK14" i="6" s="1"/>
  <c r="AI13" i="6"/>
  <c r="AJ13" i="6" s="1"/>
  <c r="AK13" i="6" s="1"/>
  <c r="AI12" i="6"/>
  <c r="AJ12" i="6" s="1"/>
  <c r="AK12" i="6" s="1"/>
  <c r="AI11" i="6"/>
  <c r="AJ11" i="6" s="1"/>
  <c r="AK11" i="6" s="1"/>
  <c r="AI10" i="6"/>
  <c r="AJ10" i="6" s="1"/>
  <c r="AK10" i="6" s="1"/>
  <c r="AI9" i="6"/>
  <c r="AJ9" i="6" s="1"/>
  <c r="AK9" i="6" s="1"/>
  <c r="AI8" i="6"/>
  <c r="AJ8" i="6" s="1"/>
  <c r="AK8" i="6" s="1"/>
  <c r="AI7" i="6"/>
  <c r="AJ7" i="6" s="1"/>
  <c r="AK7" i="6" s="1"/>
  <c r="AJ6" i="6"/>
  <c r="AK6" i="6" s="1"/>
  <c r="AI6" i="6"/>
  <c r="AI5" i="6"/>
  <c r="AJ5" i="6" s="1"/>
  <c r="AK5" i="6" s="1"/>
  <c r="AJ4" i="6"/>
  <c r="AK4" i="6" s="1"/>
  <c r="AI4" i="6"/>
  <c r="AI23" i="5"/>
  <c r="AJ23" i="5" s="1"/>
  <c r="AK23" i="5" s="1"/>
  <c r="AJ22" i="5"/>
  <c r="AK22" i="5" s="1"/>
  <c r="AI22" i="5"/>
  <c r="AJ21" i="5"/>
  <c r="AK21" i="5" s="1"/>
  <c r="AI21" i="5"/>
  <c r="AI20" i="5"/>
  <c r="AJ20" i="5" s="1"/>
  <c r="AK20" i="5" s="1"/>
  <c r="AI19" i="5"/>
  <c r="AJ19" i="5" s="1"/>
  <c r="AK19" i="5" s="1"/>
  <c r="AI18" i="5"/>
  <c r="AJ18" i="5" s="1"/>
  <c r="AK18" i="5" s="1"/>
  <c r="AI17" i="5"/>
  <c r="AJ17" i="5" s="1"/>
  <c r="AK17" i="5" s="1"/>
  <c r="AJ16" i="5"/>
  <c r="AK16" i="5" s="1"/>
  <c r="AI16" i="5"/>
  <c r="AI15" i="5"/>
  <c r="AJ15" i="5" s="1"/>
  <c r="AK15" i="5" s="1"/>
  <c r="AI14" i="5"/>
  <c r="AJ14" i="5" s="1"/>
  <c r="AK14" i="5" s="1"/>
  <c r="AI13" i="5"/>
  <c r="AJ13" i="5" s="1"/>
  <c r="AK13" i="5" s="1"/>
  <c r="AI12" i="5"/>
  <c r="AJ12" i="5" s="1"/>
  <c r="AK12" i="5" s="1"/>
  <c r="AI11" i="5"/>
  <c r="AJ11" i="5" s="1"/>
  <c r="AK11" i="5" s="1"/>
  <c r="AI10" i="5"/>
  <c r="AJ10" i="5" s="1"/>
  <c r="AK10" i="5" s="1"/>
  <c r="AI9" i="5"/>
  <c r="AJ9" i="5" s="1"/>
  <c r="AK9" i="5" s="1"/>
  <c r="AI8" i="5"/>
  <c r="AJ8" i="5" s="1"/>
  <c r="AK8" i="5" s="1"/>
  <c r="AI7" i="5"/>
  <c r="AJ7" i="5" s="1"/>
  <c r="AK7" i="5" s="1"/>
  <c r="AJ6" i="5"/>
  <c r="AK6" i="5" s="1"/>
  <c r="AI6" i="5"/>
  <c r="AI5" i="5"/>
  <c r="AJ5" i="5" s="1"/>
  <c r="AK5" i="5" s="1"/>
  <c r="AJ4" i="5"/>
  <c r="AK4" i="5" s="1"/>
  <c r="AI4" i="5"/>
  <c r="AI23" i="4"/>
  <c r="AJ23" i="4" s="1"/>
  <c r="AK23" i="4" s="1"/>
  <c r="AJ22" i="4"/>
  <c r="AK22" i="4" s="1"/>
  <c r="AI22" i="4"/>
  <c r="AJ21" i="4"/>
  <c r="AK21" i="4" s="1"/>
  <c r="AI21" i="4"/>
  <c r="AI20" i="4"/>
  <c r="AJ20" i="4" s="1"/>
  <c r="AK20" i="4" s="1"/>
  <c r="AI19" i="4"/>
  <c r="AJ19" i="4" s="1"/>
  <c r="AK19" i="4" s="1"/>
  <c r="AI18" i="4"/>
  <c r="AJ18" i="4" s="1"/>
  <c r="AK18" i="4" s="1"/>
  <c r="AI17" i="4"/>
  <c r="AJ17" i="4" s="1"/>
  <c r="AK17" i="4" s="1"/>
  <c r="AJ16" i="4"/>
  <c r="AK16" i="4" s="1"/>
  <c r="AI16" i="4"/>
  <c r="AI15" i="4"/>
  <c r="AJ15" i="4" s="1"/>
  <c r="AK15" i="4" s="1"/>
  <c r="AI14" i="4"/>
  <c r="AJ14" i="4" s="1"/>
  <c r="AK14" i="4" s="1"/>
  <c r="AI13" i="4"/>
  <c r="AJ13" i="4" s="1"/>
  <c r="AK13" i="4" s="1"/>
  <c r="AI12" i="4"/>
  <c r="AJ12" i="4" s="1"/>
  <c r="AK12" i="4" s="1"/>
  <c r="AI11" i="4"/>
  <c r="AJ11" i="4" s="1"/>
  <c r="AK11" i="4" s="1"/>
  <c r="AI10" i="4"/>
  <c r="AJ10" i="4" s="1"/>
  <c r="AK10" i="4" s="1"/>
  <c r="AI9" i="4"/>
  <c r="AJ9" i="4" s="1"/>
  <c r="AK9" i="4" s="1"/>
  <c r="AI8" i="4"/>
  <c r="AJ8" i="4" s="1"/>
  <c r="AK8" i="4" s="1"/>
  <c r="AI7" i="4"/>
  <c r="AJ7" i="4" s="1"/>
  <c r="AK7" i="4" s="1"/>
  <c r="AJ6" i="4"/>
  <c r="AK6" i="4" s="1"/>
  <c r="AI6" i="4"/>
  <c r="AI5" i="4"/>
  <c r="AJ5" i="4" s="1"/>
  <c r="AK5" i="4" s="1"/>
  <c r="AJ4" i="4"/>
  <c r="AK4" i="4" s="1"/>
  <c r="AI4" i="4"/>
  <c r="AI23" i="3"/>
  <c r="AJ23" i="3" s="1"/>
  <c r="AK23" i="3" s="1"/>
  <c r="AJ22" i="3"/>
  <c r="AK22" i="3" s="1"/>
  <c r="AI22" i="3"/>
  <c r="AJ21" i="3"/>
  <c r="AK21" i="3" s="1"/>
  <c r="AI21" i="3"/>
  <c r="AI20" i="3"/>
  <c r="AJ20" i="3" s="1"/>
  <c r="AK20" i="3" s="1"/>
  <c r="AI19" i="3"/>
  <c r="AJ19" i="3" s="1"/>
  <c r="AK19" i="3" s="1"/>
  <c r="AI18" i="3"/>
  <c r="AJ18" i="3" s="1"/>
  <c r="AK18" i="3" s="1"/>
  <c r="AI17" i="3"/>
  <c r="AJ17" i="3" s="1"/>
  <c r="AK17" i="3" s="1"/>
  <c r="AJ16" i="3"/>
  <c r="AK16" i="3" s="1"/>
  <c r="AI16" i="3"/>
  <c r="AI15" i="3"/>
  <c r="AJ15" i="3" s="1"/>
  <c r="AK15" i="3" s="1"/>
  <c r="AI14" i="3"/>
  <c r="AJ14" i="3" s="1"/>
  <c r="AK14" i="3" s="1"/>
  <c r="AI13" i="3"/>
  <c r="AJ13" i="3" s="1"/>
  <c r="AK13" i="3" s="1"/>
  <c r="AI12" i="3"/>
  <c r="AJ12" i="3" s="1"/>
  <c r="AK12" i="3" s="1"/>
  <c r="AI11" i="3"/>
  <c r="AJ11" i="3" s="1"/>
  <c r="AK11" i="3" s="1"/>
  <c r="AI10" i="3"/>
  <c r="AJ10" i="3" s="1"/>
  <c r="AK10" i="3" s="1"/>
  <c r="AI9" i="3"/>
  <c r="AJ9" i="3" s="1"/>
  <c r="AK9" i="3" s="1"/>
  <c r="AI8" i="3"/>
  <c r="AJ8" i="3" s="1"/>
  <c r="AK8" i="3" s="1"/>
  <c r="AI7" i="3"/>
  <c r="AJ7" i="3" s="1"/>
  <c r="AK7" i="3" s="1"/>
  <c r="AJ6" i="3"/>
  <c r="AK6" i="3" s="1"/>
  <c r="AI6" i="3"/>
  <c r="AI5" i="3"/>
  <c r="AJ5" i="3" s="1"/>
  <c r="AK5" i="3" s="1"/>
  <c r="AJ4" i="3"/>
  <c r="AK4" i="3" s="1"/>
  <c r="AI4" i="3"/>
  <c r="AI23" i="2"/>
  <c r="AJ23" i="2" s="1"/>
  <c r="AK23" i="2" s="1"/>
  <c r="AJ22" i="2"/>
  <c r="AK22" i="2" s="1"/>
  <c r="AI22" i="2"/>
  <c r="AJ21" i="2"/>
  <c r="AK21" i="2" s="1"/>
  <c r="AI21" i="2"/>
  <c r="AI20" i="2"/>
  <c r="AJ20" i="2" s="1"/>
  <c r="AK20" i="2" s="1"/>
  <c r="AI19" i="2"/>
  <c r="AJ19" i="2" s="1"/>
  <c r="AK19" i="2" s="1"/>
  <c r="AI18" i="2"/>
  <c r="AJ18" i="2" s="1"/>
  <c r="AK18" i="2" s="1"/>
  <c r="AI17" i="2"/>
  <c r="AJ17" i="2" s="1"/>
  <c r="AK17" i="2" s="1"/>
  <c r="AJ16" i="2"/>
  <c r="AK16" i="2" s="1"/>
  <c r="AI16" i="2"/>
  <c r="AI15" i="2"/>
  <c r="AJ15" i="2" s="1"/>
  <c r="AK15" i="2" s="1"/>
  <c r="AI14" i="2"/>
  <c r="AJ14" i="2" s="1"/>
  <c r="AK14" i="2" s="1"/>
  <c r="AI13" i="2"/>
  <c r="AJ13" i="2" s="1"/>
  <c r="AK13" i="2" s="1"/>
  <c r="AI12" i="2"/>
  <c r="AJ12" i="2" s="1"/>
  <c r="AK12" i="2" s="1"/>
  <c r="AI11" i="2"/>
  <c r="AJ11" i="2" s="1"/>
  <c r="AK11" i="2" s="1"/>
  <c r="AI10" i="2"/>
  <c r="AJ10" i="2" s="1"/>
  <c r="AK10" i="2" s="1"/>
  <c r="AI9" i="2"/>
  <c r="AJ9" i="2" s="1"/>
  <c r="AK9" i="2" s="1"/>
  <c r="AI8" i="2"/>
  <c r="AJ8" i="2" s="1"/>
  <c r="AK8" i="2" s="1"/>
  <c r="AI7" i="2"/>
  <c r="AJ7" i="2" s="1"/>
  <c r="AK7" i="2" s="1"/>
  <c r="AJ6" i="2"/>
  <c r="AK6" i="2" s="1"/>
  <c r="AI6" i="2"/>
  <c r="AI5" i="2"/>
  <c r="AJ5" i="2" s="1"/>
  <c r="AK5" i="2" s="1"/>
  <c r="AJ4" i="2"/>
  <c r="AK4" i="2" s="1"/>
  <c r="AI4" i="2"/>
  <c r="AI23" i="1"/>
  <c r="AJ23" i="1" s="1"/>
  <c r="AK23" i="1" s="1"/>
  <c r="AJ22" i="1"/>
  <c r="AK22" i="1" s="1"/>
  <c r="AI22" i="1"/>
  <c r="AJ21" i="1"/>
  <c r="AK21" i="1" s="1"/>
  <c r="AI21" i="1"/>
  <c r="AI20" i="1"/>
  <c r="AJ20" i="1" s="1"/>
  <c r="AK20" i="1" s="1"/>
  <c r="AI19" i="1"/>
  <c r="AJ19" i="1" s="1"/>
  <c r="AK19" i="1" s="1"/>
  <c r="AI18" i="1"/>
  <c r="AJ18" i="1" s="1"/>
  <c r="AK18" i="1" s="1"/>
  <c r="AI17" i="1"/>
  <c r="AJ17" i="1" s="1"/>
  <c r="AK17" i="1" s="1"/>
  <c r="AJ16" i="1"/>
  <c r="AK16" i="1" s="1"/>
  <c r="AI16" i="1"/>
  <c r="AI15" i="1"/>
  <c r="AJ15" i="1" s="1"/>
  <c r="AK15" i="1" s="1"/>
  <c r="AI14" i="1"/>
  <c r="AJ14" i="1" s="1"/>
  <c r="AK14" i="1" s="1"/>
  <c r="AI13" i="1"/>
  <c r="AJ13" i="1" s="1"/>
  <c r="AK13" i="1" s="1"/>
  <c r="AI12" i="1"/>
  <c r="AJ12" i="1" s="1"/>
  <c r="AK12" i="1" s="1"/>
  <c r="AI11" i="1"/>
  <c r="AJ11" i="1" s="1"/>
  <c r="AK11" i="1" s="1"/>
  <c r="AI10" i="1"/>
  <c r="AJ10" i="1" s="1"/>
  <c r="AK10" i="1" s="1"/>
  <c r="AI9" i="1"/>
  <c r="AJ9" i="1" s="1"/>
  <c r="AK9" i="1" s="1"/>
  <c r="AI8" i="1"/>
  <c r="AJ8" i="1" s="1"/>
  <c r="AK8" i="1" s="1"/>
  <c r="AI7" i="1"/>
  <c r="AJ7" i="1" s="1"/>
  <c r="AK7" i="1" s="1"/>
  <c r="AJ6" i="1"/>
  <c r="AK6" i="1" s="1"/>
  <c r="AI6" i="1"/>
  <c r="AI5" i="1"/>
  <c r="AJ5" i="1" s="1"/>
  <c r="AK5" i="1" s="1"/>
  <c r="AJ4" i="1"/>
  <c r="AK4" i="1" s="1"/>
  <c r="AI4" i="1"/>
</calcChain>
</file>

<file path=xl/sharedStrings.xml><?xml version="1.0" encoding="utf-8"?>
<sst xmlns="http://schemas.openxmlformats.org/spreadsheetml/2006/main" count="216" uniqueCount="136">
  <si>
    <t>3기 전북인공지능고</t>
  </si>
  <si>
    <t>2기 자동차고 2반</t>
  </si>
  <si>
    <t>1기 자동차고 1반</t>
  </si>
  <si>
    <t>번호</t>
  </si>
  <si>
    <t>이름</t>
  </si>
  <si>
    <t>월요일</t>
  </si>
  <si>
    <t>월요일(4/6)</t>
  </si>
  <si>
    <t>화요일</t>
  </si>
  <si>
    <t>화요일(4/7)</t>
  </si>
  <si>
    <t>수요일</t>
  </si>
  <si>
    <t>목요일</t>
  </si>
  <si>
    <t>수요일(4/8)</t>
  </si>
  <si>
    <t>금요일</t>
  </si>
  <si>
    <t>목요일(4/9)</t>
  </si>
  <si>
    <t>금요일(4/10)</t>
  </si>
  <si>
    <t>결과 수</t>
  </si>
  <si>
    <t>출석 수</t>
  </si>
  <si>
    <t>미이수여부</t>
  </si>
  <si>
    <t>공결</t>
  </si>
  <si>
    <t>강은재</t>
  </si>
  <si>
    <t>강성식</t>
  </si>
  <si>
    <t>카이세 수이</t>
  </si>
  <si>
    <t>김경민</t>
  </si>
  <si>
    <t>공도윤(미)</t>
  </si>
  <si>
    <t>고재현</t>
  </si>
  <si>
    <t>김도훈</t>
  </si>
  <si>
    <t>김영준</t>
  </si>
  <si>
    <t>4.7종료</t>
  </si>
  <si>
    <t>김민기</t>
  </si>
  <si>
    <t>김태빈</t>
  </si>
  <si>
    <t>김지후</t>
  </si>
  <si>
    <t>김시우</t>
  </si>
  <si>
    <t>서장원</t>
  </si>
  <si>
    <t>김지안</t>
  </si>
  <si>
    <t>나종엽</t>
  </si>
  <si>
    <t>신채원</t>
  </si>
  <si>
    <t>노태규</t>
  </si>
  <si>
    <t>김태수</t>
  </si>
  <si>
    <t>양진영</t>
  </si>
  <si>
    <t>변석민</t>
  </si>
  <si>
    <t>이성호</t>
  </si>
  <si>
    <t>양지훈</t>
  </si>
  <si>
    <t>이진현</t>
  </si>
  <si>
    <t>안율</t>
  </si>
  <si>
    <t>임지섭</t>
  </si>
  <si>
    <t>이연아</t>
  </si>
  <si>
    <t>유찬</t>
  </si>
  <si>
    <t>이은성</t>
  </si>
  <si>
    <t>장주원</t>
  </si>
  <si>
    <t>이하준</t>
  </si>
  <si>
    <t>주영일</t>
  </si>
  <si>
    <t>이하람</t>
  </si>
  <si>
    <t>이한결</t>
  </si>
  <si>
    <t>함예찬</t>
  </si>
  <si>
    <t>임현승</t>
  </si>
  <si>
    <t>황인태</t>
  </si>
  <si>
    <t>장현우</t>
  </si>
  <si>
    <t>한율(미)</t>
  </si>
  <si>
    <t>전기현</t>
  </si>
  <si>
    <t>조성준</t>
  </si>
  <si>
    <t>최은유</t>
  </si>
  <si>
    <t>비고</t>
  </si>
  <si>
    <t>최한별</t>
  </si>
  <si>
    <t>4번 김영준 조퇴
8번 양진영 결석</t>
  </si>
  <si>
    <t>1번 강은재, 10번 이진현 지각
8번 양진영 결석</t>
  </si>
  <si>
    <t>1번 강은재, 10번 이진현 지각 &amp; 4교시 이후 미인정 조퇴
8번 양진영 결석</t>
  </si>
  <si>
    <t>1번 강은재, 10번 이진현, 8번 양진영 결석</t>
  </si>
  <si>
    <t>강성식, 김지안, 안율, 이은성 
자격증시험
공도윤, 한율 미인정결</t>
  </si>
  <si>
    <t>한율 1교시 후 미인정 조퇴
변석민 자격증시험</t>
  </si>
  <si>
    <t>김민기 자격증시험</t>
  </si>
  <si>
    <t>한우주</t>
  </si>
  <si>
    <t>홍준서</t>
  </si>
  <si>
    <t>김성래</t>
  </si>
  <si>
    <t>강승호</t>
  </si>
  <si>
    <t>장성현</t>
  </si>
  <si>
    <t xml:space="preserve">  </t>
  </si>
  <si>
    <t>조성준 조부상(공결)</t>
  </si>
  <si>
    <t>조성준 조부상(공결),
서장원, 이하람, 장현우, 전기현, 한우주, 홍준서, 김성래, 강승호, 장성현 공결(야구부 시합)(공결)</t>
  </si>
  <si>
    <t>김태빈 조부상(공결)
조성준 (질병결)</t>
  </si>
  <si>
    <t>4기 덕암정보고</t>
  </si>
  <si>
    <t xml:space="preserve"> </t>
  </si>
  <si>
    <t>금요일(7/20일 월요일)</t>
  </si>
  <si>
    <t>강동완</t>
  </si>
  <si>
    <t>6기 기계과 5반</t>
  </si>
  <si>
    <t>강현우</t>
  </si>
  <si>
    <t>권율</t>
  </si>
  <si>
    <t>김동연</t>
  </si>
  <si>
    <t>구성록</t>
  </si>
  <si>
    <t>김민재</t>
  </si>
  <si>
    <t>김민규</t>
  </si>
  <si>
    <t>김유현</t>
  </si>
  <si>
    <t>김종수</t>
  </si>
  <si>
    <t>김명준</t>
  </si>
  <si>
    <t>김주원</t>
  </si>
  <si>
    <t>김태양</t>
  </si>
  <si>
    <t>김장호</t>
  </si>
  <si>
    <t>김중현</t>
  </si>
  <si>
    <t>나은호</t>
  </si>
  <si>
    <t>김현성</t>
  </si>
  <si>
    <t>박성민</t>
  </si>
  <si>
    <t>박현준</t>
  </si>
  <si>
    <t>박지원</t>
  </si>
  <si>
    <t>박정현</t>
  </si>
  <si>
    <t>배성재</t>
  </si>
  <si>
    <t>박주경</t>
  </si>
  <si>
    <t>반위진</t>
  </si>
  <si>
    <t>박주형</t>
  </si>
  <si>
    <t>손경원</t>
  </si>
  <si>
    <t>박채빈</t>
  </si>
  <si>
    <t>선민규</t>
  </si>
  <si>
    <t>심의석</t>
  </si>
  <si>
    <t>서재원</t>
  </si>
  <si>
    <t>양병우</t>
  </si>
  <si>
    <t>양경환</t>
  </si>
  <si>
    <t>진용호</t>
  </si>
  <si>
    <t>송현우</t>
  </si>
  <si>
    <t>오종현</t>
  </si>
  <si>
    <t>최강현</t>
  </si>
  <si>
    <t>신희재</t>
  </si>
  <si>
    <t>임지호</t>
  </si>
  <si>
    <t>최우진</t>
  </si>
  <si>
    <t>윤서진</t>
  </si>
  <si>
    <t>임한결</t>
  </si>
  <si>
    <t>이윤호</t>
  </si>
  <si>
    <t>전정혁</t>
  </si>
  <si>
    <t>임찬영</t>
  </si>
  <si>
    <t>최신원</t>
  </si>
  <si>
    <t>정현우</t>
  </si>
  <si>
    <t>한재희</t>
  </si>
  <si>
    <t>조운휘</t>
  </si>
  <si>
    <t>황연우</t>
  </si>
  <si>
    <t>황희훈</t>
  </si>
  <si>
    <t>11번 1교시 미인정지각</t>
  </si>
  <si>
    <t>김종수 질병결</t>
  </si>
  <si>
    <t>나은호, 박현준 미인정결,
진용호 질병결</t>
  </si>
  <si>
    <t>강동완, 김민규 질병결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</si>
</sst>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0"/>
      <name val="Arial"/>
      <scheme val="minor"/>
    </font>
    <font>
      <b/>
      <sz val="10"/>
      <color theme="1"/>
      <name val="Arial"/>
      <scheme val="minor"/>
    </font>
    <font>
      <sz val="8"/>
      <name val="Arial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theme="0"/>
      </patternFill>
    </fill>
  </fills>
  <borders count="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2" xfId="0" applyFont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2" borderId="0" xfId="0" applyFont="1" applyFill="1"/>
    <xf numFmtId="0" fontId="1" fillId="5" borderId="1" xfId="0" applyFont="1" applyFill="1" applyBorder="1" applyAlignment="1">
      <alignment horizontal="center"/>
    </xf>
    <xf numFmtId="0" fontId="1" fillId="3" borderId="0" xfId="0" applyFont="1" applyFill="1"/>
    <xf numFmtId="0" fontId="1" fillId="5" borderId="0" xfId="0" applyFont="1" applyFill="1" applyAlignment="1">
      <alignment horizontal="center"/>
    </xf>
    <xf numFmtId="0" fontId="1" fillId="3" borderId="0" xfId="0" applyFont="1" applyFill="1" applyAlignment="1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1" fillId="0" borderId="0" xfId="0" applyFont="1" applyAlignment="1"/>
    <xf numFmtId="0" fontId="1" fillId="4" borderId="2" xfId="0" applyFont="1" applyFill="1" applyBorder="1" applyAlignment="1">
      <alignment horizontal="center"/>
    </xf>
    <xf numFmtId="0" fontId="1" fillId="2" borderId="0" xfId="0" applyFont="1" applyFill="1" applyAlignment="1"/>
    <xf numFmtId="0" fontId="1" fillId="0" borderId="0" xfId="0" applyFont="1" applyAlignment="1">
      <alignment horizontal="center"/>
    </xf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25</xdr:row>
      <xdr:rowOff>0</xdr:rowOff>
    </xdr:from>
    <xdr:ext cx="4876800" cy="6858000"/>
    <xdr:pic>
      <xdr:nvPicPr>
        <xdr:cNvPr id="2" name="image1.png" title="이미지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N25"/>
  <sheetViews>
    <sheetView topLeftCell="A7" workbookViewId="0">
      <selection sqref="A1:B1"/>
    </sheetView>
  </sheetViews>
  <sheetFormatPr defaultColWidth="12.5703125" defaultRowHeight="15.75" customHeight="1" x14ac:dyDescent="0.2"/>
  <cols>
    <col min="1" max="1" width="5.42578125" customWidth="1"/>
    <col min="2" max="2" width="7.85546875" customWidth="1"/>
    <col min="3" max="34" width="3.42578125" customWidth="1"/>
    <col min="35" max="36" width="6" customWidth="1"/>
    <col min="37" max="37" width="9.7109375" customWidth="1"/>
    <col min="38" max="40" width="6.85546875" customWidth="1"/>
  </cols>
  <sheetData>
    <row r="1" spans="1:40" ht="12.75" x14ac:dyDescent="0.2">
      <c r="A1" s="34"/>
      <c r="B1" s="35"/>
      <c r="C1" s="34"/>
      <c r="D1" s="35"/>
      <c r="E1" s="35"/>
      <c r="F1" s="35"/>
      <c r="G1" s="35"/>
      <c r="H1" s="35"/>
      <c r="I1" s="35"/>
      <c r="J1" s="34"/>
      <c r="K1" s="35"/>
      <c r="L1" s="35"/>
      <c r="M1" s="35"/>
      <c r="N1" s="35"/>
      <c r="O1" s="35"/>
      <c r="P1" s="35"/>
      <c r="Q1" s="34"/>
      <c r="R1" s="35"/>
      <c r="S1" s="35"/>
      <c r="T1" s="35"/>
      <c r="U1" s="35"/>
      <c r="V1" s="35"/>
      <c r="W1" s="35"/>
      <c r="X1" s="34"/>
      <c r="Y1" s="35"/>
      <c r="Z1" s="35"/>
      <c r="AA1" s="35"/>
      <c r="AB1" s="35"/>
      <c r="AC1" s="35"/>
      <c r="AD1" s="35"/>
      <c r="AE1" s="34"/>
      <c r="AF1" s="35"/>
      <c r="AG1" s="35"/>
      <c r="AH1" s="35"/>
      <c r="AI1" s="35"/>
      <c r="AJ1" s="35"/>
      <c r="AK1" s="1"/>
      <c r="AL1" s="1"/>
      <c r="AM1" s="1"/>
      <c r="AN1" s="1"/>
    </row>
    <row r="2" spans="1:40" ht="12.75" x14ac:dyDescent="0.2">
      <c r="A2" s="34" t="s">
        <v>3</v>
      </c>
      <c r="B2" s="34" t="s">
        <v>4</v>
      </c>
      <c r="C2" s="36" t="s">
        <v>5</v>
      </c>
      <c r="D2" s="35"/>
      <c r="E2" s="35"/>
      <c r="F2" s="35"/>
      <c r="G2" s="35"/>
      <c r="H2" s="35"/>
      <c r="I2" s="37" t="s">
        <v>7</v>
      </c>
      <c r="J2" s="35"/>
      <c r="K2" s="35"/>
      <c r="L2" s="35"/>
      <c r="M2" s="35"/>
      <c r="N2" s="35"/>
      <c r="O2" s="35"/>
      <c r="P2" s="36" t="s">
        <v>9</v>
      </c>
      <c r="Q2" s="35"/>
      <c r="R2" s="35"/>
      <c r="S2" s="35"/>
      <c r="T2" s="35"/>
      <c r="U2" s="35"/>
      <c r="V2" s="37" t="s">
        <v>10</v>
      </c>
      <c r="W2" s="35"/>
      <c r="X2" s="35"/>
      <c r="Y2" s="35"/>
      <c r="Z2" s="35"/>
      <c r="AA2" s="35"/>
      <c r="AB2" s="35"/>
      <c r="AC2" s="36" t="s">
        <v>12</v>
      </c>
      <c r="AD2" s="35"/>
      <c r="AE2" s="35"/>
      <c r="AF2" s="35"/>
      <c r="AG2" s="35"/>
      <c r="AH2" s="35"/>
      <c r="AI2" s="1"/>
      <c r="AJ2" s="1"/>
      <c r="AK2" s="1"/>
      <c r="AL2" s="1"/>
      <c r="AM2" s="1"/>
      <c r="AN2" s="1"/>
    </row>
    <row r="3" spans="1:40" ht="12.75" x14ac:dyDescent="0.2">
      <c r="A3" s="35"/>
      <c r="B3" s="35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3">
        <v>1</v>
      </c>
      <c r="J3" s="3">
        <v>2</v>
      </c>
      <c r="K3" s="3">
        <v>3</v>
      </c>
      <c r="L3" s="3">
        <v>4</v>
      </c>
      <c r="M3" s="3">
        <v>5</v>
      </c>
      <c r="N3" s="3">
        <v>6</v>
      </c>
      <c r="O3" s="3">
        <v>7</v>
      </c>
      <c r="P3" s="2">
        <v>1</v>
      </c>
      <c r="Q3" s="2">
        <v>2</v>
      </c>
      <c r="R3" s="2">
        <v>3</v>
      </c>
      <c r="S3" s="2">
        <v>4</v>
      </c>
      <c r="T3" s="2">
        <v>5</v>
      </c>
      <c r="U3" s="2">
        <v>6</v>
      </c>
      <c r="V3" s="3">
        <v>1</v>
      </c>
      <c r="W3" s="3">
        <v>2</v>
      </c>
      <c r="X3" s="3">
        <v>3</v>
      </c>
      <c r="Y3" s="3">
        <v>4</v>
      </c>
      <c r="Z3" s="3">
        <v>5</v>
      </c>
      <c r="AA3" s="3">
        <v>6</v>
      </c>
      <c r="AB3" s="3">
        <v>7</v>
      </c>
      <c r="AC3" s="2">
        <v>1</v>
      </c>
      <c r="AD3" s="2">
        <v>2</v>
      </c>
      <c r="AE3" s="2">
        <v>3</v>
      </c>
      <c r="AF3" s="2">
        <v>4</v>
      </c>
      <c r="AG3" s="2">
        <v>5</v>
      </c>
      <c r="AH3" s="2">
        <v>6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 spans="1:40" ht="12.75" x14ac:dyDescent="0.2">
      <c r="A4" s="5">
        <v>1</v>
      </c>
      <c r="B4" s="5" t="s">
        <v>19</v>
      </c>
      <c r="C4" s="7" t="b">
        <v>0</v>
      </c>
      <c r="D4" s="7" t="b">
        <v>0</v>
      </c>
      <c r="E4" s="8" t="b">
        <v>0</v>
      </c>
      <c r="F4" s="7" t="b">
        <v>0</v>
      </c>
      <c r="G4" s="7" t="b">
        <v>0</v>
      </c>
      <c r="H4" s="7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7" t="b">
        <v>0</v>
      </c>
      <c r="Q4" s="7" t="b">
        <v>0</v>
      </c>
      <c r="R4" s="7" t="b">
        <v>0</v>
      </c>
      <c r="S4" s="8" t="b">
        <v>0</v>
      </c>
      <c r="T4" s="7" t="b">
        <v>0</v>
      </c>
      <c r="U4" s="7" t="b">
        <v>0</v>
      </c>
      <c r="V4" s="10" t="b">
        <v>0</v>
      </c>
      <c r="W4" s="10" t="b">
        <v>0</v>
      </c>
      <c r="X4" s="10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8" t="b">
        <v>0</v>
      </c>
      <c r="AD4" s="8" t="b">
        <v>0</v>
      </c>
      <c r="AE4" s="8" t="b">
        <v>0</v>
      </c>
      <c r="AF4" s="7" t="b">
        <v>0</v>
      </c>
      <c r="AG4" s="8" t="b">
        <v>0</v>
      </c>
      <c r="AH4" s="8" t="b">
        <v>0</v>
      </c>
      <c r="AI4" s="4">
        <f t="shared" ref="AI4:AI23" si="0">COUNTIF(C4:AH4, TRUE)</f>
        <v>0</v>
      </c>
      <c r="AJ4" s="1">
        <f t="shared" ref="AJ4:AJ23" si="1">32-AI4</f>
        <v>32</v>
      </c>
      <c r="AK4" s="4" t="str">
        <f t="shared" ref="AK4:AK23" si="2">IF(AJ4 &lt; 32 * (2/3), "미이수", "")</f>
        <v/>
      </c>
      <c r="AL4" s="4"/>
      <c r="AM4" s="4"/>
      <c r="AN4" s="4"/>
    </row>
    <row r="5" spans="1:40" ht="12.75" x14ac:dyDescent="0.2">
      <c r="A5" s="1">
        <v>2</v>
      </c>
      <c r="B5" s="1" t="s">
        <v>22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0"/>
        <v>0</v>
      </c>
      <c r="AJ5" s="1">
        <f t="shared" si="1"/>
        <v>32</v>
      </c>
      <c r="AK5" s="4" t="str">
        <f t="shared" si="2"/>
        <v/>
      </c>
      <c r="AL5" s="4"/>
      <c r="AM5" s="4"/>
      <c r="AN5" s="4"/>
    </row>
    <row r="6" spans="1:40" ht="12.75" x14ac:dyDescent="0.2">
      <c r="A6" s="1">
        <v>3</v>
      </c>
      <c r="B6" s="1" t="s">
        <v>25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0"/>
        <v>0</v>
      </c>
      <c r="AJ6" s="1">
        <f t="shared" si="1"/>
        <v>32</v>
      </c>
      <c r="AK6" s="4" t="str">
        <f t="shared" si="2"/>
        <v/>
      </c>
      <c r="AL6" s="4"/>
      <c r="AM6" s="4"/>
      <c r="AN6" s="4"/>
    </row>
    <row r="7" spans="1:40" ht="12.75" x14ac:dyDescent="0.2">
      <c r="A7" s="1">
        <v>4</v>
      </c>
      <c r="B7" s="1" t="s">
        <v>26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0"/>
        <v>0</v>
      </c>
      <c r="AJ7" s="1">
        <f t="shared" si="1"/>
        <v>32</v>
      </c>
      <c r="AK7" s="4" t="str">
        <f t="shared" si="2"/>
        <v/>
      </c>
      <c r="AL7" s="4"/>
      <c r="AM7" s="4"/>
      <c r="AN7" s="4"/>
    </row>
    <row r="8" spans="1:40" ht="12.75" x14ac:dyDescent="0.2">
      <c r="A8" s="14">
        <v>5</v>
      </c>
      <c r="B8" s="14" t="s">
        <v>30</v>
      </c>
      <c r="C8" s="16" t="b">
        <v>0</v>
      </c>
      <c r="D8" s="16" t="b">
        <v>0</v>
      </c>
      <c r="E8" s="16" t="b">
        <v>0</v>
      </c>
      <c r="F8" s="16" t="b">
        <v>0</v>
      </c>
      <c r="G8" s="16" t="b">
        <v>0</v>
      </c>
      <c r="H8" s="16" t="b">
        <v>0</v>
      </c>
      <c r="I8" s="18" t="b">
        <v>0</v>
      </c>
      <c r="J8" s="18" t="b">
        <v>0</v>
      </c>
      <c r="K8" s="18" t="b">
        <v>0</v>
      </c>
      <c r="L8" s="18" t="b">
        <v>0</v>
      </c>
      <c r="M8" s="18" t="b">
        <v>0</v>
      </c>
      <c r="N8" s="18" t="b">
        <v>0</v>
      </c>
      <c r="O8" s="18" t="b">
        <v>0</v>
      </c>
      <c r="P8" s="16" t="b">
        <v>0</v>
      </c>
      <c r="Q8" s="16" t="b">
        <v>0</v>
      </c>
      <c r="R8" s="16" t="b">
        <v>0</v>
      </c>
      <c r="S8" s="16" t="b">
        <v>0</v>
      </c>
      <c r="T8" s="16" t="b">
        <v>0</v>
      </c>
      <c r="U8" s="16" t="b">
        <v>0</v>
      </c>
      <c r="V8" s="18" t="b">
        <v>0</v>
      </c>
      <c r="W8" s="18" t="b">
        <v>0</v>
      </c>
      <c r="X8" s="18" t="b">
        <v>0</v>
      </c>
      <c r="Y8" s="18" t="b">
        <v>0</v>
      </c>
      <c r="Z8" s="18" t="b">
        <v>0</v>
      </c>
      <c r="AA8" s="18" t="b">
        <v>0</v>
      </c>
      <c r="AB8" s="18" t="b">
        <v>0</v>
      </c>
      <c r="AC8" s="16" t="b">
        <v>0</v>
      </c>
      <c r="AD8" s="16" t="b">
        <v>0</v>
      </c>
      <c r="AE8" s="16" t="b">
        <v>0</v>
      </c>
      <c r="AF8" s="16" t="b">
        <v>0</v>
      </c>
      <c r="AG8" s="16" t="b">
        <v>0</v>
      </c>
      <c r="AH8" s="16" t="b">
        <v>0</v>
      </c>
      <c r="AI8" s="4">
        <f t="shared" si="0"/>
        <v>0</v>
      </c>
      <c r="AJ8" s="1">
        <f t="shared" si="1"/>
        <v>32</v>
      </c>
      <c r="AK8" s="4" t="str">
        <f t="shared" si="2"/>
        <v/>
      </c>
      <c r="AL8" s="4"/>
      <c r="AM8" s="4"/>
      <c r="AN8" s="4"/>
    </row>
    <row r="9" spans="1:40" ht="12.75" x14ac:dyDescent="0.2">
      <c r="A9" s="1">
        <v>6</v>
      </c>
      <c r="B9" s="1" t="s">
        <v>34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0"/>
        <v>0</v>
      </c>
      <c r="AJ9" s="1">
        <f t="shared" si="1"/>
        <v>32</v>
      </c>
      <c r="AK9" s="4" t="str">
        <f t="shared" si="2"/>
        <v/>
      </c>
      <c r="AL9" s="4"/>
      <c r="AM9" s="4"/>
      <c r="AN9" s="4"/>
    </row>
    <row r="10" spans="1:40" ht="12.75" x14ac:dyDescent="0.2">
      <c r="A10" s="1">
        <v>7</v>
      </c>
      <c r="B10" s="1" t="s">
        <v>36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0"/>
        <v>0</v>
      </c>
      <c r="AJ10" s="1">
        <f t="shared" si="1"/>
        <v>32</v>
      </c>
      <c r="AK10" s="4" t="str">
        <f t="shared" si="2"/>
        <v/>
      </c>
      <c r="AL10" s="4"/>
      <c r="AM10" s="4"/>
      <c r="AN10" s="4"/>
    </row>
    <row r="11" spans="1:40" ht="12.75" x14ac:dyDescent="0.2">
      <c r="A11" s="1">
        <v>8</v>
      </c>
      <c r="B11" s="1" t="s">
        <v>38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0"/>
        <v>0</v>
      </c>
      <c r="AJ11" s="1">
        <f t="shared" si="1"/>
        <v>32</v>
      </c>
      <c r="AK11" s="4" t="str">
        <f t="shared" si="2"/>
        <v/>
      </c>
      <c r="AL11" s="4"/>
      <c r="AM11" s="4"/>
      <c r="AN11" s="4"/>
    </row>
    <row r="12" spans="1:40" ht="12.75" x14ac:dyDescent="0.2">
      <c r="A12" s="1">
        <v>9</v>
      </c>
      <c r="B12" s="1" t="s">
        <v>40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0"/>
        <v>0</v>
      </c>
      <c r="AJ12" s="1">
        <f t="shared" si="1"/>
        <v>32</v>
      </c>
      <c r="AK12" s="4" t="str">
        <f t="shared" si="2"/>
        <v/>
      </c>
      <c r="AL12" s="4"/>
      <c r="AM12" s="4"/>
      <c r="AN12" s="4"/>
    </row>
    <row r="13" spans="1:40" ht="12.75" x14ac:dyDescent="0.2">
      <c r="A13" s="1">
        <v>10</v>
      </c>
      <c r="B13" s="1" t="s">
        <v>42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0"/>
        <v>0</v>
      </c>
      <c r="AJ13" s="1">
        <f t="shared" si="1"/>
        <v>32</v>
      </c>
      <c r="AK13" s="4" t="str">
        <f t="shared" si="2"/>
        <v/>
      </c>
      <c r="AL13" s="4"/>
      <c r="AM13" s="4"/>
      <c r="AN13" s="4"/>
    </row>
    <row r="14" spans="1:40" ht="12.75" x14ac:dyDescent="0.2">
      <c r="A14" s="5">
        <v>11</v>
      </c>
      <c r="B14" s="5" t="s">
        <v>44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8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0"/>
        <v>0</v>
      </c>
      <c r="AJ14" s="1">
        <f t="shared" si="1"/>
        <v>32</v>
      </c>
      <c r="AK14" s="4" t="str">
        <f t="shared" si="2"/>
        <v/>
      </c>
      <c r="AL14" s="4"/>
      <c r="AM14" s="4"/>
      <c r="AN14" s="4"/>
    </row>
    <row r="15" spans="1:40" ht="12.75" x14ac:dyDescent="0.2">
      <c r="A15" s="1">
        <v>12</v>
      </c>
      <c r="B15" s="1" t="s">
        <v>48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0"/>
        <v>0</v>
      </c>
      <c r="AJ15" s="1">
        <f t="shared" si="1"/>
        <v>32</v>
      </c>
      <c r="AK15" s="4" t="str">
        <f t="shared" si="2"/>
        <v/>
      </c>
      <c r="AL15" s="4"/>
      <c r="AM15" s="4"/>
      <c r="AN15" s="4"/>
    </row>
    <row r="16" spans="1:40" ht="12.75" x14ac:dyDescent="0.2">
      <c r="A16" s="1">
        <v>13</v>
      </c>
      <c r="B16" s="1" t="s">
        <v>50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3" t="b">
        <v>1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0"/>
        <v>1</v>
      </c>
      <c r="AJ16" s="1">
        <f t="shared" si="1"/>
        <v>31</v>
      </c>
      <c r="AK16" s="4" t="str">
        <f t="shared" si="2"/>
        <v/>
      </c>
      <c r="AL16" s="4"/>
      <c r="AM16" s="4"/>
      <c r="AN16" s="4"/>
    </row>
    <row r="17" spans="1:40" ht="12.75" x14ac:dyDescent="0.2">
      <c r="A17" s="1">
        <v>14</v>
      </c>
      <c r="B17" s="1" t="s">
        <v>53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0"/>
        <v>0</v>
      </c>
      <c r="AJ17" s="1">
        <f t="shared" si="1"/>
        <v>32</v>
      </c>
      <c r="AK17" s="4" t="str">
        <f t="shared" si="2"/>
        <v/>
      </c>
      <c r="AL17" s="4"/>
      <c r="AM17" s="4"/>
      <c r="AN17" s="4"/>
    </row>
    <row r="18" spans="1:40" ht="12.75" x14ac:dyDescent="0.2">
      <c r="A18" s="14">
        <v>15</v>
      </c>
      <c r="B18" s="14" t="s">
        <v>55</v>
      </c>
      <c r="C18" s="16" t="b">
        <v>0</v>
      </c>
      <c r="D18" s="16" t="b">
        <v>0</v>
      </c>
      <c r="E18" s="16" t="b">
        <v>0</v>
      </c>
      <c r="F18" s="16" t="b">
        <v>0</v>
      </c>
      <c r="G18" s="16" t="b">
        <v>0</v>
      </c>
      <c r="H18" s="16" t="b">
        <v>0</v>
      </c>
      <c r="I18" s="18" t="b">
        <v>0</v>
      </c>
      <c r="J18" s="18" t="b">
        <v>0</v>
      </c>
      <c r="K18" s="18" t="b">
        <v>0</v>
      </c>
      <c r="L18" s="18" t="b">
        <v>0</v>
      </c>
      <c r="M18" s="18" t="b">
        <v>0</v>
      </c>
      <c r="N18" s="18" t="b">
        <v>0</v>
      </c>
      <c r="O18" s="18" t="b">
        <v>0</v>
      </c>
      <c r="P18" s="16" t="b">
        <v>0</v>
      </c>
      <c r="Q18" s="16" t="b">
        <v>0</v>
      </c>
      <c r="R18" s="16" t="b">
        <v>0</v>
      </c>
      <c r="S18" s="16" t="b">
        <v>0</v>
      </c>
      <c r="T18" s="16" t="b">
        <v>0</v>
      </c>
      <c r="U18" s="16" t="b">
        <v>0</v>
      </c>
      <c r="V18" s="18" t="b">
        <v>0</v>
      </c>
      <c r="W18" s="18" t="b">
        <v>0</v>
      </c>
      <c r="X18" s="18" t="b">
        <v>0</v>
      </c>
      <c r="Y18" s="18" t="b">
        <v>0</v>
      </c>
      <c r="Z18" s="18" t="b">
        <v>0</v>
      </c>
      <c r="AA18" s="18" t="b">
        <v>0</v>
      </c>
      <c r="AB18" s="18" t="b">
        <v>0</v>
      </c>
      <c r="AC18" s="16" t="b">
        <v>0</v>
      </c>
      <c r="AD18" s="16" t="b">
        <v>0</v>
      </c>
      <c r="AE18" s="16" t="b">
        <v>0</v>
      </c>
      <c r="AF18" s="16" t="b">
        <v>0</v>
      </c>
      <c r="AG18" s="16" t="b">
        <v>0</v>
      </c>
      <c r="AH18" s="16" t="b">
        <v>0</v>
      </c>
      <c r="AI18" s="4">
        <f t="shared" si="0"/>
        <v>0</v>
      </c>
      <c r="AJ18" s="1">
        <f t="shared" si="1"/>
        <v>32</v>
      </c>
      <c r="AK18" s="4" t="str">
        <f t="shared" si="2"/>
        <v/>
      </c>
      <c r="AL18" s="4"/>
      <c r="AM18" s="4"/>
      <c r="AN18" s="4"/>
    </row>
    <row r="19" spans="1:40" ht="12.75" x14ac:dyDescent="0.2">
      <c r="A19" s="1">
        <v>16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0"/>
        <v>0</v>
      </c>
      <c r="AJ19" s="1">
        <f t="shared" si="1"/>
        <v>32</v>
      </c>
      <c r="AK19" s="4" t="str">
        <f t="shared" si="2"/>
        <v/>
      </c>
      <c r="AL19" s="4"/>
      <c r="AM19" s="4"/>
      <c r="AN19" s="4"/>
    </row>
    <row r="20" spans="1:40" ht="12.75" x14ac:dyDescent="0.2">
      <c r="A20" s="1">
        <v>17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0"/>
        <v>0</v>
      </c>
      <c r="AJ20" s="1">
        <f t="shared" si="1"/>
        <v>32</v>
      </c>
      <c r="AK20" s="4" t="str">
        <f t="shared" si="2"/>
        <v/>
      </c>
      <c r="AL20" s="4"/>
      <c r="AM20" s="4"/>
      <c r="AN20" s="4"/>
    </row>
    <row r="21" spans="1:40" ht="12.75" x14ac:dyDescent="0.2">
      <c r="A21" s="1">
        <v>18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0"/>
        <v>0</v>
      </c>
      <c r="AJ21" s="1">
        <f t="shared" si="1"/>
        <v>32</v>
      </c>
      <c r="AK21" s="4" t="str">
        <f t="shared" si="2"/>
        <v/>
      </c>
      <c r="AL21" s="4"/>
      <c r="AM21" s="4"/>
      <c r="AN21" s="4"/>
    </row>
    <row r="22" spans="1:40" ht="12.75" x14ac:dyDescent="0.2">
      <c r="A22" s="1">
        <v>19</v>
      </c>
      <c r="B22" s="4"/>
      <c r="C22" s="24" t="b">
        <v>0</v>
      </c>
      <c r="D22" s="24" t="b">
        <v>0</v>
      </c>
      <c r="E22" s="24" t="b">
        <v>0</v>
      </c>
      <c r="F22" s="24" t="b">
        <v>0</v>
      </c>
      <c r="G22" s="24" t="b">
        <v>0</v>
      </c>
      <c r="H22" s="24" t="b">
        <v>0</v>
      </c>
      <c r="I22" s="26" t="b">
        <v>0</v>
      </c>
      <c r="J22" s="26" t="b">
        <v>0</v>
      </c>
      <c r="K22" s="26" t="b">
        <v>0</v>
      </c>
      <c r="L22" s="26" t="b">
        <v>0</v>
      </c>
      <c r="M22" s="26" t="b">
        <v>0</v>
      </c>
      <c r="N22" s="26" t="b">
        <v>0</v>
      </c>
      <c r="O22" s="26" t="b">
        <v>0</v>
      </c>
      <c r="P22" s="24" t="b">
        <v>0</v>
      </c>
      <c r="Q22" s="24" t="b">
        <v>0</v>
      </c>
      <c r="R22" s="24" t="b">
        <v>0</v>
      </c>
      <c r="S22" s="24" t="b">
        <v>0</v>
      </c>
      <c r="T22" s="24" t="b">
        <v>0</v>
      </c>
      <c r="U22" s="24" t="b">
        <v>0</v>
      </c>
      <c r="V22" s="26" t="b">
        <v>0</v>
      </c>
      <c r="W22" s="26" t="b">
        <v>0</v>
      </c>
      <c r="X22" s="26" t="b">
        <v>0</v>
      </c>
      <c r="Y22" s="26" t="b">
        <v>0</v>
      </c>
      <c r="Z22" s="26" t="b">
        <v>0</v>
      </c>
      <c r="AA22" s="26" t="b">
        <v>0</v>
      </c>
      <c r="AB22" s="26" t="b">
        <v>0</v>
      </c>
      <c r="AC22" s="24" t="b">
        <v>0</v>
      </c>
      <c r="AD22" s="24" t="b">
        <v>0</v>
      </c>
      <c r="AE22" s="24" t="b">
        <v>0</v>
      </c>
      <c r="AF22" s="24" t="b">
        <v>0</v>
      </c>
      <c r="AG22" s="24" t="b">
        <v>0</v>
      </c>
      <c r="AH22" s="24" t="b">
        <v>0</v>
      </c>
      <c r="AI22" s="4">
        <f t="shared" si="0"/>
        <v>0</v>
      </c>
      <c r="AJ22" s="1">
        <f t="shared" si="1"/>
        <v>32</v>
      </c>
      <c r="AK22" s="4" t="str">
        <f t="shared" si="2"/>
        <v/>
      </c>
    </row>
    <row r="23" spans="1:40" ht="12.75" x14ac:dyDescent="0.2">
      <c r="A23" s="1">
        <v>20</v>
      </c>
      <c r="B23" s="4"/>
      <c r="C23" s="24" t="b">
        <v>0</v>
      </c>
      <c r="D23" s="24" t="b">
        <v>0</v>
      </c>
      <c r="E23" s="24" t="b">
        <v>0</v>
      </c>
      <c r="F23" s="24" t="b">
        <v>0</v>
      </c>
      <c r="G23" s="24" t="b">
        <v>0</v>
      </c>
      <c r="H23" s="24" t="b">
        <v>0</v>
      </c>
      <c r="I23" s="26" t="b">
        <v>0</v>
      </c>
      <c r="J23" s="26" t="b">
        <v>0</v>
      </c>
      <c r="K23" s="26" t="b">
        <v>0</v>
      </c>
      <c r="L23" s="26" t="b">
        <v>0</v>
      </c>
      <c r="M23" s="26" t="b">
        <v>0</v>
      </c>
      <c r="N23" s="26" t="b">
        <v>0</v>
      </c>
      <c r="O23" s="26" t="b">
        <v>0</v>
      </c>
      <c r="P23" s="24" t="b">
        <v>0</v>
      </c>
      <c r="Q23" s="24" t="b">
        <v>0</v>
      </c>
      <c r="R23" s="24" t="b">
        <v>0</v>
      </c>
      <c r="S23" s="24" t="b">
        <v>0</v>
      </c>
      <c r="T23" s="24" t="b">
        <v>0</v>
      </c>
      <c r="U23" s="24" t="b">
        <v>0</v>
      </c>
      <c r="V23" s="26" t="b">
        <v>0</v>
      </c>
      <c r="W23" s="26" t="b">
        <v>0</v>
      </c>
      <c r="X23" s="26" t="b">
        <v>0</v>
      </c>
      <c r="Y23" s="26" t="b">
        <v>0</v>
      </c>
      <c r="Z23" s="26" t="b">
        <v>0</v>
      </c>
      <c r="AA23" s="26" t="b">
        <v>0</v>
      </c>
      <c r="AB23" s="26" t="b">
        <v>0</v>
      </c>
      <c r="AC23" s="24" t="b">
        <v>0</v>
      </c>
      <c r="AD23" s="24" t="b">
        <v>0</v>
      </c>
      <c r="AE23" s="24" t="b">
        <v>0</v>
      </c>
      <c r="AF23" s="24" t="b">
        <v>0</v>
      </c>
      <c r="AG23" s="24" t="b">
        <v>0</v>
      </c>
      <c r="AH23" s="24" t="b">
        <v>0</v>
      </c>
      <c r="AI23" s="4">
        <f t="shared" si="0"/>
        <v>0</v>
      </c>
      <c r="AJ23" s="1">
        <f t="shared" si="1"/>
        <v>32</v>
      </c>
      <c r="AK23" s="4" t="str">
        <f t="shared" si="2"/>
        <v/>
      </c>
    </row>
    <row r="25" spans="1:40" ht="49.5" customHeight="1" x14ac:dyDescent="0.2">
      <c r="B25" s="29" t="s">
        <v>61</v>
      </c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</sheetData>
  <mergeCells count="18">
    <mergeCell ref="A2:A3"/>
    <mergeCell ref="B2:B3"/>
    <mergeCell ref="A1:B1"/>
    <mergeCell ref="J1:P1"/>
    <mergeCell ref="Q1:W1"/>
    <mergeCell ref="X1:AD1"/>
    <mergeCell ref="AE1:AJ1"/>
    <mergeCell ref="V25:AB25"/>
    <mergeCell ref="AC25:AH25"/>
    <mergeCell ref="I2:O2"/>
    <mergeCell ref="P2:U2"/>
    <mergeCell ref="V2:AB2"/>
    <mergeCell ref="AC2:AH2"/>
    <mergeCell ref="C1:I1"/>
    <mergeCell ref="C2:H2"/>
    <mergeCell ref="C25:H25"/>
    <mergeCell ref="I25:O25"/>
    <mergeCell ref="P25:U25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O25"/>
  <sheetViews>
    <sheetView workbookViewId="0"/>
  </sheetViews>
  <sheetFormatPr defaultColWidth="12.5703125" defaultRowHeight="15.75" customHeight="1" x14ac:dyDescent="0.2"/>
  <cols>
    <col min="1" max="1" width="5.42578125" customWidth="1"/>
    <col min="2" max="2" width="7.85546875" customWidth="1"/>
    <col min="3" max="34" width="3.42578125" customWidth="1"/>
    <col min="35" max="36" width="6" customWidth="1"/>
    <col min="37" max="37" width="9.7109375" customWidth="1"/>
    <col min="38" max="41" width="6.85546875" customWidth="1"/>
  </cols>
  <sheetData>
    <row r="1" spans="1:41" ht="12.75" x14ac:dyDescent="0.2">
      <c r="A1" s="34" t="s">
        <v>2</v>
      </c>
      <c r="B1" s="35"/>
      <c r="C1" s="34"/>
      <c r="D1" s="35"/>
      <c r="E1" s="35"/>
      <c r="F1" s="35"/>
      <c r="G1" s="35"/>
      <c r="H1" s="35"/>
      <c r="I1" s="35"/>
      <c r="J1" s="34"/>
      <c r="K1" s="35"/>
      <c r="L1" s="35"/>
      <c r="M1" s="35"/>
      <c r="N1" s="35"/>
      <c r="O1" s="35"/>
      <c r="P1" s="35"/>
      <c r="Q1" s="34"/>
      <c r="R1" s="35"/>
      <c r="S1" s="35"/>
      <c r="T1" s="35"/>
      <c r="U1" s="35"/>
      <c r="V1" s="35"/>
      <c r="W1" s="35"/>
      <c r="X1" s="34"/>
      <c r="Y1" s="35"/>
      <c r="Z1" s="35"/>
      <c r="AA1" s="35"/>
      <c r="AB1" s="35"/>
      <c r="AC1" s="35"/>
      <c r="AD1" s="35"/>
      <c r="AE1" s="34"/>
      <c r="AF1" s="35"/>
      <c r="AG1" s="35"/>
      <c r="AH1" s="35"/>
      <c r="AI1" s="35"/>
      <c r="AJ1" s="35"/>
      <c r="AK1" s="1"/>
      <c r="AL1" s="1"/>
      <c r="AM1" s="1"/>
      <c r="AN1" s="1"/>
      <c r="AO1" s="1"/>
    </row>
    <row r="2" spans="1:41" ht="12.75" x14ac:dyDescent="0.2">
      <c r="A2" s="34" t="s">
        <v>3</v>
      </c>
      <c r="B2" s="34" t="s">
        <v>4</v>
      </c>
      <c r="C2" s="36" t="s">
        <v>6</v>
      </c>
      <c r="D2" s="35"/>
      <c r="E2" s="35"/>
      <c r="F2" s="35"/>
      <c r="G2" s="35"/>
      <c r="H2" s="35"/>
      <c r="I2" s="37" t="s">
        <v>8</v>
      </c>
      <c r="J2" s="35"/>
      <c r="K2" s="35"/>
      <c r="L2" s="35"/>
      <c r="M2" s="35"/>
      <c r="N2" s="35"/>
      <c r="O2" s="35"/>
      <c r="P2" s="36" t="s">
        <v>11</v>
      </c>
      <c r="Q2" s="35"/>
      <c r="R2" s="35"/>
      <c r="S2" s="35"/>
      <c r="T2" s="35"/>
      <c r="U2" s="35"/>
      <c r="V2" s="37" t="s">
        <v>13</v>
      </c>
      <c r="W2" s="35"/>
      <c r="X2" s="35"/>
      <c r="Y2" s="35"/>
      <c r="Z2" s="35"/>
      <c r="AA2" s="35"/>
      <c r="AB2" s="35"/>
      <c r="AC2" s="36" t="s">
        <v>14</v>
      </c>
      <c r="AD2" s="35"/>
      <c r="AE2" s="35"/>
      <c r="AF2" s="35"/>
      <c r="AG2" s="35"/>
      <c r="AH2" s="35"/>
      <c r="AI2" s="1"/>
      <c r="AJ2" s="1"/>
      <c r="AK2" s="1"/>
      <c r="AL2" s="1"/>
      <c r="AM2" s="1"/>
      <c r="AN2" s="1"/>
      <c r="AO2" s="1"/>
    </row>
    <row r="3" spans="1:41" ht="12.75" x14ac:dyDescent="0.2">
      <c r="A3" s="35"/>
      <c r="B3" s="35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3">
        <v>1</v>
      </c>
      <c r="J3" s="3">
        <v>2</v>
      </c>
      <c r="K3" s="3">
        <v>3</v>
      </c>
      <c r="L3" s="3">
        <v>4</v>
      </c>
      <c r="M3" s="3">
        <v>5</v>
      </c>
      <c r="N3" s="3">
        <v>6</v>
      </c>
      <c r="O3" s="3">
        <v>7</v>
      </c>
      <c r="P3" s="2">
        <v>1</v>
      </c>
      <c r="Q3" s="2">
        <v>2</v>
      </c>
      <c r="R3" s="2">
        <v>3</v>
      </c>
      <c r="S3" s="2">
        <v>4</v>
      </c>
      <c r="T3" s="2">
        <v>5</v>
      </c>
      <c r="U3" s="2">
        <v>6</v>
      </c>
      <c r="V3" s="3">
        <v>1</v>
      </c>
      <c r="W3" s="3">
        <v>2</v>
      </c>
      <c r="X3" s="3">
        <v>3</v>
      </c>
      <c r="Y3" s="3">
        <v>4</v>
      </c>
      <c r="Z3" s="3">
        <v>5</v>
      </c>
      <c r="AA3" s="3">
        <v>6</v>
      </c>
      <c r="AB3" s="3">
        <v>7</v>
      </c>
      <c r="AC3" s="2">
        <v>1</v>
      </c>
      <c r="AD3" s="2">
        <v>2</v>
      </c>
      <c r="AE3" s="2">
        <v>3</v>
      </c>
      <c r="AF3" s="2">
        <v>4</v>
      </c>
      <c r="AG3" s="2">
        <v>5</v>
      </c>
      <c r="AH3" s="2">
        <v>6</v>
      </c>
      <c r="AI3" s="1" t="s">
        <v>15</v>
      </c>
      <c r="AJ3" s="1" t="s">
        <v>16</v>
      </c>
      <c r="AK3" s="1" t="s">
        <v>17</v>
      </c>
      <c r="AL3" s="4"/>
      <c r="AM3" s="6" t="s">
        <v>18</v>
      </c>
      <c r="AN3" s="4"/>
      <c r="AO3" s="4"/>
    </row>
    <row r="4" spans="1:41" ht="12.75" x14ac:dyDescent="0.2">
      <c r="A4" s="5">
        <v>1</v>
      </c>
      <c r="B4" s="5" t="s">
        <v>20</v>
      </c>
      <c r="C4" s="9" t="b">
        <v>0</v>
      </c>
      <c r="D4" s="9" t="b">
        <v>0</v>
      </c>
      <c r="E4" s="9" t="b">
        <v>0</v>
      </c>
      <c r="F4" s="9" t="b">
        <v>0</v>
      </c>
      <c r="G4" s="9" t="b">
        <v>0</v>
      </c>
      <c r="H4" s="9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7" t="b">
        <v>0</v>
      </c>
      <c r="Q4" s="7" t="b">
        <v>0</v>
      </c>
      <c r="R4" s="7" t="b">
        <v>0</v>
      </c>
      <c r="S4" s="8" t="b">
        <v>0</v>
      </c>
      <c r="T4" s="7" t="b">
        <v>0</v>
      </c>
      <c r="U4" s="7" t="b">
        <v>0</v>
      </c>
      <c r="V4" s="10" t="b">
        <v>0</v>
      </c>
      <c r="W4" s="10" t="b">
        <v>0</v>
      </c>
      <c r="X4" s="10" t="b">
        <v>0</v>
      </c>
      <c r="Y4" s="10" t="b">
        <v>0</v>
      </c>
      <c r="Z4" s="10" t="b">
        <v>0</v>
      </c>
      <c r="AA4" s="10" t="b">
        <v>0</v>
      </c>
      <c r="AB4" s="10" t="b">
        <v>0</v>
      </c>
      <c r="AC4" s="8" t="b">
        <v>0</v>
      </c>
      <c r="AD4" s="8" t="b">
        <v>0</v>
      </c>
      <c r="AE4" s="8" t="b">
        <v>0</v>
      </c>
      <c r="AF4" s="7" t="b">
        <v>0</v>
      </c>
      <c r="AG4" s="8" t="b">
        <v>0</v>
      </c>
      <c r="AH4" s="8" t="b">
        <v>0</v>
      </c>
      <c r="AI4" s="4">
        <f t="shared" ref="AI4:AI23" si="0">COUNTIF(C4:AH4, TRUE)</f>
        <v>0</v>
      </c>
      <c r="AJ4" s="1">
        <f t="shared" ref="AJ4:AJ23" si="1">32-AI4</f>
        <v>32</v>
      </c>
      <c r="AK4" s="4" t="str">
        <f t="shared" ref="AK4:AK23" si="2">IF(AJ4 &lt; 32 * (2/3), "미이수", "")</f>
        <v/>
      </c>
      <c r="AL4" s="4"/>
      <c r="AM4" s="1">
        <v>6</v>
      </c>
      <c r="AN4" s="4"/>
      <c r="AO4" s="4"/>
    </row>
    <row r="5" spans="1:41" ht="12.75" x14ac:dyDescent="0.2">
      <c r="A5" s="1">
        <v>2</v>
      </c>
      <c r="B5" s="1" t="s">
        <v>23</v>
      </c>
      <c r="C5" s="2" t="b">
        <v>1</v>
      </c>
      <c r="D5" s="2" t="b">
        <v>1</v>
      </c>
      <c r="E5" s="2" t="b">
        <v>1</v>
      </c>
      <c r="F5" s="2" t="b">
        <v>1</v>
      </c>
      <c r="G5" s="2" t="b">
        <v>1</v>
      </c>
      <c r="H5" s="2" t="b">
        <v>1</v>
      </c>
      <c r="I5" s="3" t="b">
        <v>1</v>
      </c>
      <c r="J5" s="3" t="b">
        <v>1</v>
      </c>
      <c r="K5" s="3" t="b">
        <v>1</v>
      </c>
      <c r="L5" s="3" t="b">
        <v>1</v>
      </c>
      <c r="M5" s="3" t="b">
        <v>1</v>
      </c>
      <c r="N5" s="3" t="b">
        <v>1</v>
      </c>
      <c r="O5" s="3" t="b">
        <v>1</v>
      </c>
      <c r="P5" s="2" t="b">
        <v>0</v>
      </c>
      <c r="Q5" s="2" t="b">
        <v>0</v>
      </c>
      <c r="R5" s="2" t="b">
        <v>0</v>
      </c>
      <c r="S5" s="2" t="b">
        <v>0</v>
      </c>
      <c r="T5" s="2" t="b">
        <v>0</v>
      </c>
      <c r="U5" s="2" t="b">
        <v>0</v>
      </c>
      <c r="V5" s="3" t="b">
        <v>0</v>
      </c>
      <c r="W5" s="3" t="b">
        <v>0</v>
      </c>
      <c r="X5" s="3" t="b">
        <v>0</v>
      </c>
      <c r="Y5" s="3" t="b">
        <v>0</v>
      </c>
      <c r="Z5" s="3" t="b">
        <v>0</v>
      </c>
      <c r="AA5" s="3" t="b">
        <v>0</v>
      </c>
      <c r="AB5" s="3" t="b">
        <v>0</v>
      </c>
      <c r="AC5" s="2" t="b">
        <v>0</v>
      </c>
      <c r="AD5" s="2" t="b">
        <v>0</v>
      </c>
      <c r="AE5" s="2" t="b">
        <v>0</v>
      </c>
      <c r="AF5" s="2" t="b">
        <v>0</v>
      </c>
      <c r="AG5" s="2" t="b">
        <v>0</v>
      </c>
      <c r="AH5" s="2" t="b">
        <v>0</v>
      </c>
      <c r="AI5" s="4">
        <f t="shared" si="0"/>
        <v>13</v>
      </c>
      <c r="AJ5" s="1">
        <f t="shared" si="1"/>
        <v>19</v>
      </c>
      <c r="AK5" s="4" t="str">
        <f t="shared" si="2"/>
        <v>미이수</v>
      </c>
      <c r="AL5" s="1" t="s">
        <v>27</v>
      </c>
      <c r="AM5" s="1"/>
      <c r="AN5" s="1"/>
      <c r="AO5" s="1"/>
    </row>
    <row r="6" spans="1:41" ht="12.75" x14ac:dyDescent="0.2">
      <c r="A6" s="1">
        <v>3</v>
      </c>
      <c r="B6" s="1" t="s">
        <v>28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2" t="b">
        <v>0</v>
      </c>
      <c r="Q6" s="2" t="b">
        <v>0</v>
      </c>
      <c r="R6" s="2" t="b">
        <v>0</v>
      </c>
      <c r="S6" s="2" t="b">
        <v>0</v>
      </c>
      <c r="T6" s="2" t="b">
        <v>0</v>
      </c>
      <c r="U6" s="2" t="b">
        <v>0</v>
      </c>
      <c r="V6" s="15" t="b">
        <v>0</v>
      </c>
      <c r="W6" s="15" t="b">
        <v>0</v>
      </c>
      <c r="X6" s="15" t="b">
        <v>0</v>
      </c>
      <c r="Y6" s="15" t="b">
        <v>0</v>
      </c>
      <c r="Z6" s="15" t="b">
        <v>0</v>
      </c>
      <c r="AA6" s="15" t="b">
        <v>0</v>
      </c>
      <c r="AB6" s="15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0"/>
        <v>0</v>
      </c>
      <c r="AJ6" s="1">
        <f t="shared" si="1"/>
        <v>32</v>
      </c>
      <c r="AK6" s="4" t="str">
        <f t="shared" si="2"/>
        <v/>
      </c>
      <c r="AL6" s="4"/>
      <c r="AM6" s="1">
        <v>7</v>
      </c>
      <c r="AN6" s="4"/>
      <c r="AO6" s="4"/>
    </row>
    <row r="7" spans="1:41" ht="12.75" x14ac:dyDescent="0.2">
      <c r="A7" s="1">
        <v>4</v>
      </c>
      <c r="B7" s="1" t="s">
        <v>31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3" t="b">
        <v>0</v>
      </c>
      <c r="W7" s="3" t="b">
        <v>0</v>
      </c>
      <c r="X7" s="3" t="b">
        <v>0</v>
      </c>
      <c r="Y7" s="3" t="b">
        <v>0</v>
      </c>
      <c r="Z7" s="3" t="b">
        <v>0</v>
      </c>
      <c r="AA7" s="3" t="b">
        <v>0</v>
      </c>
      <c r="AB7" s="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0"/>
        <v>0</v>
      </c>
      <c r="AJ7" s="1">
        <f t="shared" si="1"/>
        <v>32</v>
      </c>
      <c r="AK7" s="4" t="str">
        <f t="shared" si="2"/>
        <v/>
      </c>
      <c r="AL7" s="4"/>
      <c r="AM7" s="4"/>
      <c r="AN7" s="4"/>
      <c r="AO7" s="4"/>
    </row>
    <row r="8" spans="1:41" ht="12.75" x14ac:dyDescent="0.2">
      <c r="A8" s="14">
        <v>5</v>
      </c>
      <c r="B8" s="14" t="s">
        <v>33</v>
      </c>
      <c r="C8" s="20" t="b">
        <v>0</v>
      </c>
      <c r="D8" s="20" t="b">
        <v>0</v>
      </c>
      <c r="E8" s="20" t="b">
        <v>0</v>
      </c>
      <c r="F8" s="16" t="b">
        <v>0</v>
      </c>
      <c r="G8" s="16" t="b">
        <v>0</v>
      </c>
      <c r="H8" s="16" t="b">
        <v>0</v>
      </c>
      <c r="I8" s="18" t="b">
        <v>0</v>
      </c>
      <c r="J8" s="18" t="b">
        <v>0</v>
      </c>
      <c r="K8" s="18" t="b">
        <v>0</v>
      </c>
      <c r="L8" s="18" t="b">
        <v>0</v>
      </c>
      <c r="M8" s="18" t="b">
        <v>0</v>
      </c>
      <c r="N8" s="18" t="b">
        <v>0</v>
      </c>
      <c r="O8" s="18" t="b">
        <v>0</v>
      </c>
      <c r="P8" s="16" t="b">
        <v>0</v>
      </c>
      <c r="Q8" s="16" t="b">
        <v>0</v>
      </c>
      <c r="R8" s="16" t="b">
        <v>0</v>
      </c>
      <c r="S8" s="16" t="b">
        <v>0</v>
      </c>
      <c r="T8" s="16" t="b">
        <v>0</v>
      </c>
      <c r="U8" s="16" t="b">
        <v>0</v>
      </c>
      <c r="V8" s="19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6" t="b">
        <v>0</v>
      </c>
      <c r="AD8" s="16" t="b">
        <v>0</v>
      </c>
      <c r="AE8" s="16" t="b">
        <v>0</v>
      </c>
      <c r="AF8" s="16" t="b">
        <v>0</v>
      </c>
      <c r="AG8" s="16" t="b">
        <v>0</v>
      </c>
      <c r="AH8" s="16" t="b">
        <v>0</v>
      </c>
      <c r="AI8" s="4">
        <f t="shared" si="0"/>
        <v>0</v>
      </c>
      <c r="AJ8" s="1">
        <f t="shared" si="1"/>
        <v>32</v>
      </c>
      <c r="AK8" s="4" t="str">
        <f t="shared" si="2"/>
        <v/>
      </c>
      <c r="AL8" s="4"/>
      <c r="AM8" s="4"/>
      <c r="AN8" s="4"/>
      <c r="AO8" s="4"/>
    </row>
    <row r="9" spans="1:41" ht="12.75" x14ac:dyDescent="0.2">
      <c r="A9" s="1">
        <v>6</v>
      </c>
      <c r="B9" s="1" t="s">
        <v>37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3" t="b">
        <v>0</v>
      </c>
      <c r="W9" s="3" t="b">
        <v>0</v>
      </c>
      <c r="X9" s="3" t="b">
        <v>0</v>
      </c>
      <c r="Y9" s="3" t="b">
        <v>0</v>
      </c>
      <c r="Z9" s="3" t="b">
        <v>0</v>
      </c>
      <c r="AA9" s="3" t="b">
        <v>0</v>
      </c>
      <c r="AB9" s="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0"/>
        <v>0</v>
      </c>
      <c r="AJ9" s="1">
        <f t="shared" si="1"/>
        <v>32</v>
      </c>
      <c r="AK9" s="4" t="str">
        <f t="shared" si="2"/>
        <v/>
      </c>
      <c r="AL9" s="4"/>
      <c r="AM9" s="4"/>
      <c r="AN9" s="4"/>
      <c r="AO9" s="4"/>
    </row>
    <row r="10" spans="1:41" ht="12.75" x14ac:dyDescent="0.2">
      <c r="A10" s="1">
        <v>7</v>
      </c>
      <c r="B10" s="1" t="s">
        <v>39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5" t="b">
        <v>0</v>
      </c>
      <c r="J10" s="15" t="b">
        <v>0</v>
      </c>
      <c r="K10" s="15" t="b">
        <v>0</v>
      </c>
      <c r="L10" s="15" t="b">
        <v>0</v>
      </c>
      <c r="M10" s="15" t="b">
        <v>0</v>
      </c>
      <c r="N10" s="15" t="b">
        <v>0</v>
      </c>
      <c r="O10" s="15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3" t="b">
        <v>0</v>
      </c>
      <c r="W10" s="3" t="b">
        <v>0</v>
      </c>
      <c r="X10" s="3" t="b">
        <v>0</v>
      </c>
      <c r="Y10" s="3" t="b">
        <v>0</v>
      </c>
      <c r="Z10" s="3" t="b">
        <v>0</v>
      </c>
      <c r="AA10" s="3" t="b">
        <v>0</v>
      </c>
      <c r="AB10" s="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0"/>
        <v>0</v>
      </c>
      <c r="AJ10" s="1">
        <f t="shared" si="1"/>
        <v>32</v>
      </c>
      <c r="AK10" s="4" t="str">
        <f t="shared" si="2"/>
        <v/>
      </c>
      <c r="AL10" s="4"/>
      <c r="AM10" s="4"/>
      <c r="AN10" s="4"/>
      <c r="AO10" s="4"/>
    </row>
    <row r="11" spans="1:41" ht="12.75" x14ac:dyDescent="0.2">
      <c r="A11" s="1">
        <v>8</v>
      </c>
      <c r="B11" s="1" t="s">
        <v>43</v>
      </c>
      <c r="C11" s="15" t="b">
        <v>0</v>
      </c>
      <c r="D11" s="15" t="b">
        <v>0</v>
      </c>
      <c r="E11" s="15" t="b">
        <v>0</v>
      </c>
      <c r="F11" s="15" t="b">
        <v>0</v>
      </c>
      <c r="G11" s="15" t="b">
        <v>0</v>
      </c>
      <c r="H11" s="15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3" t="b">
        <v>0</v>
      </c>
      <c r="W11" s="3" t="b">
        <v>0</v>
      </c>
      <c r="X11" s="3" t="b">
        <v>0</v>
      </c>
      <c r="Y11" s="3" t="b">
        <v>0</v>
      </c>
      <c r="Z11" s="3" t="b">
        <v>0</v>
      </c>
      <c r="AA11" s="3" t="b">
        <v>0</v>
      </c>
      <c r="AB11" s="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0"/>
        <v>0</v>
      </c>
      <c r="AJ11" s="1">
        <f t="shared" si="1"/>
        <v>32</v>
      </c>
      <c r="AK11" s="4" t="str">
        <f t="shared" si="2"/>
        <v/>
      </c>
      <c r="AL11" s="4"/>
      <c r="AM11" s="1">
        <v>6</v>
      </c>
      <c r="AN11" s="4"/>
      <c r="AO11" s="4"/>
    </row>
    <row r="12" spans="1:41" ht="12.75" x14ac:dyDescent="0.2">
      <c r="A12" s="1">
        <v>9</v>
      </c>
      <c r="B12" s="1" t="s">
        <v>46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3" t="b">
        <v>0</v>
      </c>
      <c r="W12" s="3" t="b">
        <v>0</v>
      </c>
      <c r="X12" s="3" t="b">
        <v>0</v>
      </c>
      <c r="Y12" s="3" t="b">
        <v>0</v>
      </c>
      <c r="Z12" s="3" t="b">
        <v>0</v>
      </c>
      <c r="AA12" s="3" t="b">
        <v>0</v>
      </c>
      <c r="AB12" s="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0"/>
        <v>0</v>
      </c>
      <c r="AJ12" s="1">
        <f t="shared" si="1"/>
        <v>32</v>
      </c>
      <c r="AK12" s="4" t="str">
        <f t="shared" si="2"/>
        <v/>
      </c>
      <c r="AL12" s="4"/>
      <c r="AM12" s="4"/>
      <c r="AN12" s="4"/>
      <c r="AO12" s="4"/>
    </row>
    <row r="13" spans="1:41" ht="12.75" x14ac:dyDescent="0.2">
      <c r="A13" s="1">
        <v>10</v>
      </c>
      <c r="B13" s="1" t="s">
        <v>47</v>
      </c>
      <c r="C13" s="15" t="b">
        <v>0</v>
      </c>
      <c r="D13" s="15" t="b">
        <v>0</v>
      </c>
      <c r="E13" s="15" t="b">
        <v>0</v>
      </c>
      <c r="F13" s="15" t="b">
        <v>0</v>
      </c>
      <c r="G13" s="15" t="b">
        <v>0</v>
      </c>
      <c r="H13" s="15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3" t="b">
        <v>0</v>
      </c>
      <c r="W13" s="3" t="b">
        <v>0</v>
      </c>
      <c r="X13" s="3" t="b">
        <v>0</v>
      </c>
      <c r="Y13" s="3" t="b">
        <v>0</v>
      </c>
      <c r="Z13" s="3" t="b">
        <v>0</v>
      </c>
      <c r="AA13" s="3" t="b">
        <v>0</v>
      </c>
      <c r="AB13" s="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0"/>
        <v>0</v>
      </c>
      <c r="AJ13" s="1">
        <f t="shared" si="1"/>
        <v>32</v>
      </c>
      <c r="AK13" s="4" t="str">
        <f t="shared" si="2"/>
        <v/>
      </c>
      <c r="AL13" s="4"/>
      <c r="AM13" s="1">
        <v>6</v>
      </c>
      <c r="AN13" s="4"/>
      <c r="AO13" s="4"/>
    </row>
    <row r="14" spans="1:41" ht="12.75" x14ac:dyDescent="0.2">
      <c r="A14" s="5">
        <v>11</v>
      </c>
      <c r="B14" s="5" t="s">
        <v>49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10" t="b">
        <v>0</v>
      </c>
      <c r="W14" s="10" t="b">
        <v>0</v>
      </c>
      <c r="X14" s="10" t="b">
        <v>0</v>
      </c>
      <c r="Y14" s="10" t="b">
        <v>0</v>
      </c>
      <c r="Z14" s="10" t="b">
        <v>0</v>
      </c>
      <c r="AA14" s="10" t="b">
        <v>0</v>
      </c>
      <c r="AB14" s="10" t="b">
        <v>0</v>
      </c>
      <c r="AC14" s="8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0"/>
        <v>0</v>
      </c>
      <c r="AJ14" s="1">
        <f t="shared" si="1"/>
        <v>32</v>
      </c>
      <c r="AK14" s="4" t="str">
        <f t="shared" si="2"/>
        <v/>
      </c>
      <c r="AL14" s="4"/>
      <c r="AM14" s="4"/>
      <c r="AN14" s="4"/>
      <c r="AO14" s="4"/>
    </row>
    <row r="15" spans="1:41" ht="12.75" x14ac:dyDescent="0.2">
      <c r="A15" s="1">
        <v>12</v>
      </c>
      <c r="B15" s="1" t="s">
        <v>52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3" t="b">
        <v>0</v>
      </c>
      <c r="W15" s="3" t="b">
        <v>0</v>
      </c>
      <c r="X15" s="3" t="b">
        <v>0</v>
      </c>
      <c r="Y15" s="3" t="b">
        <v>0</v>
      </c>
      <c r="Z15" s="3" t="b">
        <v>0</v>
      </c>
      <c r="AA15" s="3" t="b">
        <v>0</v>
      </c>
      <c r="AB15" s="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0"/>
        <v>0</v>
      </c>
      <c r="AJ15" s="1">
        <f t="shared" si="1"/>
        <v>32</v>
      </c>
      <c r="AK15" s="4" t="str">
        <f t="shared" si="2"/>
        <v/>
      </c>
      <c r="AL15" s="4"/>
      <c r="AM15" s="4"/>
      <c r="AN15" s="4"/>
      <c r="AO15" s="4"/>
    </row>
    <row r="16" spans="1:41" ht="12.75" x14ac:dyDescent="0.2">
      <c r="A16" s="1">
        <v>13</v>
      </c>
      <c r="B16" s="1" t="s">
        <v>54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3" t="b">
        <v>0</v>
      </c>
      <c r="W16" s="3" t="b">
        <v>0</v>
      </c>
      <c r="X16" s="3" t="b">
        <v>0</v>
      </c>
      <c r="Y16" s="3" t="b">
        <v>0</v>
      </c>
      <c r="Z16" s="3" t="b">
        <v>0</v>
      </c>
      <c r="AA16" s="3" t="b">
        <v>0</v>
      </c>
      <c r="AB16" s="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0"/>
        <v>0</v>
      </c>
      <c r="AJ16" s="1">
        <f t="shared" si="1"/>
        <v>32</v>
      </c>
      <c r="AK16" s="4" t="str">
        <f t="shared" si="2"/>
        <v/>
      </c>
      <c r="AL16" s="4"/>
      <c r="AM16" s="4"/>
      <c r="AN16" s="4"/>
      <c r="AO16" s="4"/>
    </row>
    <row r="17" spans="1:41" ht="12.75" x14ac:dyDescent="0.2">
      <c r="A17" s="1">
        <v>14</v>
      </c>
      <c r="B17" s="1" t="s">
        <v>57</v>
      </c>
      <c r="C17" s="2" t="b">
        <v>1</v>
      </c>
      <c r="D17" s="2" t="b">
        <v>1</v>
      </c>
      <c r="E17" s="2" t="b">
        <v>1</v>
      </c>
      <c r="F17" s="2" t="b">
        <v>1</v>
      </c>
      <c r="G17" s="2" t="b">
        <v>1</v>
      </c>
      <c r="H17" s="2" t="b">
        <v>1</v>
      </c>
      <c r="I17" s="3" t="b">
        <v>1</v>
      </c>
      <c r="J17" s="3" t="b">
        <v>1</v>
      </c>
      <c r="K17" s="3" t="b">
        <v>1</v>
      </c>
      <c r="L17" s="3" t="b">
        <v>1</v>
      </c>
      <c r="M17" s="3" t="b">
        <v>1</v>
      </c>
      <c r="N17" s="3" t="b">
        <v>1</v>
      </c>
      <c r="O17" s="3" t="b">
        <v>1</v>
      </c>
      <c r="P17" s="2" t="b">
        <v>0</v>
      </c>
      <c r="Q17" s="2" t="b">
        <v>0</v>
      </c>
      <c r="R17" s="2" t="b">
        <v>0</v>
      </c>
      <c r="S17" s="2" t="b">
        <v>0</v>
      </c>
      <c r="T17" s="2" t="b">
        <v>0</v>
      </c>
      <c r="U17" s="2" t="b">
        <v>0</v>
      </c>
      <c r="V17" s="3" t="b">
        <v>0</v>
      </c>
      <c r="W17" s="3" t="b">
        <v>0</v>
      </c>
      <c r="X17" s="3" t="b">
        <v>0</v>
      </c>
      <c r="Y17" s="3" t="b">
        <v>0</v>
      </c>
      <c r="Z17" s="3" t="b">
        <v>0</v>
      </c>
      <c r="AA17" s="3" t="b">
        <v>0</v>
      </c>
      <c r="AB17" s="3" t="b">
        <v>0</v>
      </c>
      <c r="AC17" s="2" t="b">
        <v>0</v>
      </c>
      <c r="AD17" s="2" t="b">
        <v>0</v>
      </c>
      <c r="AE17" s="2" t="b">
        <v>0</v>
      </c>
      <c r="AF17" s="2" t="b">
        <v>0</v>
      </c>
      <c r="AG17" s="2" t="b">
        <v>0</v>
      </c>
      <c r="AH17" s="2" t="b">
        <v>0</v>
      </c>
      <c r="AI17" s="4">
        <f t="shared" si="0"/>
        <v>13</v>
      </c>
      <c r="AJ17" s="1">
        <f t="shared" si="1"/>
        <v>19</v>
      </c>
      <c r="AK17" s="4" t="str">
        <f t="shared" si="2"/>
        <v>미이수</v>
      </c>
      <c r="AL17" s="1" t="s">
        <v>27</v>
      </c>
      <c r="AM17" s="1"/>
      <c r="AN17" s="1"/>
      <c r="AO17" s="1"/>
    </row>
    <row r="18" spans="1:41" ht="12.75" x14ac:dyDescent="0.2">
      <c r="A18" s="14">
        <v>15</v>
      </c>
      <c r="B18" s="22"/>
      <c r="C18" s="16" t="b">
        <v>0</v>
      </c>
      <c r="D18" s="16" t="b">
        <v>0</v>
      </c>
      <c r="E18" s="16" t="b">
        <v>0</v>
      </c>
      <c r="F18" s="16" t="b">
        <v>0</v>
      </c>
      <c r="G18" s="16" t="b">
        <v>0</v>
      </c>
      <c r="H18" s="16" t="b">
        <v>0</v>
      </c>
      <c r="I18" s="18" t="b">
        <v>0</v>
      </c>
      <c r="J18" s="18" t="b">
        <v>0</v>
      </c>
      <c r="K18" s="18" t="b">
        <v>0</v>
      </c>
      <c r="L18" s="18" t="b">
        <v>0</v>
      </c>
      <c r="M18" s="18" t="b">
        <v>0</v>
      </c>
      <c r="N18" s="18" t="b">
        <v>0</v>
      </c>
      <c r="O18" s="18" t="b">
        <v>0</v>
      </c>
      <c r="P18" s="16" t="b">
        <v>0</v>
      </c>
      <c r="Q18" s="16" t="b">
        <v>0</v>
      </c>
      <c r="R18" s="16" t="b">
        <v>0</v>
      </c>
      <c r="S18" s="16" t="b">
        <v>0</v>
      </c>
      <c r="T18" s="16" t="b">
        <v>0</v>
      </c>
      <c r="U18" s="16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6" t="b">
        <v>0</v>
      </c>
      <c r="AD18" s="16" t="b">
        <v>0</v>
      </c>
      <c r="AE18" s="16" t="b">
        <v>0</v>
      </c>
      <c r="AF18" s="16" t="b">
        <v>0</v>
      </c>
      <c r="AG18" s="16" t="b">
        <v>0</v>
      </c>
      <c r="AH18" s="16" t="b">
        <v>0</v>
      </c>
      <c r="AI18" s="4">
        <f t="shared" si="0"/>
        <v>0</v>
      </c>
      <c r="AJ18" s="1">
        <f t="shared" si="1"/>
        <v>32</v>
      </c>
      <c r="AK18" s="4" t="str">
        <f t="shared" si="2"/>
        <v/>
      </c>
      <c r="AL18" s="4"/>
      <c r="AM18" s="4"/>
      <c r="AN18" s="4"/>
      <c r="AO18" s="4"/>
    </row>
    <row r="19" spans="1:41" ht="12.75" x14ac:dyDescent="0.2">
      <c r="A19" s="1">
        <v>16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3" t="b">
        <v>0</v>
      </c>
      <c r="W19" s="3" t="b">
        <v>0</v>
      </c>
      <c r="X19" s="3" t="b">
        <v>0</v>
      </c>
      <c r="Y19" s="3" t="b">
        <v>0</v>
      </c>
      <c r="Z19" s="3" t="b">
        <v>0</v>
      </c>
      <c r="AA19" s="3" t="b">
        <v>0</v>
      </c>
      <c r="AB19" s="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0"/>
        <v>0</v>
      </c>
      <c r="AJ19" s="1">
        <f t="shared" si="1"/>
        <v>32</v>
      </c>
      <c r="AK19" s="4" t="str">
        <f t="shared" si="2"/>
        <v/>
      </c>
      <c r="AL19" s="4"/>
      <c r="AM19" s="4"/>
      <c r="AN19" s="4"/>
      <c r="AO19" s="4"/>
    </row>
    <row r="20" spans="1:41" ht="12.75" x14ac:dyDescent="0.2">
      <c r="A20" s="1">
        <v>17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3" t="b">
        <v>0</v>
      </c>
      <c r="W20" s="3" t="b">
        <v>0</v>
      </c>
      <c r="X20" s="3" t="b">
        <v>0</v>
      </c>
      <c r="Y20" s="3" t="b">
        <v>0</v>
      </c>
      <c r="Z20" s="3" t="b">
        <v>0</v>
      </c>
      <c r="AA20" s="3" t="b">
        <v>0</v>
      </c>
      <c r="AB20" s="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0"/>
        <v>0</v>
      </c>
      <c r="AJ20" s="1">
        <f t="shared" si="1"/>
        <v>32</v>
      </c>
      <c r="AK20" s="4" t="str">
        <f t="shared" si="2"/>
        <v/>
      </c>
      <c r="AL20" s="4"/>
      <c r="AM20" s="4"/>
      <c r="AN20" s="4"/>
      <c r="AO20" s="4"/>
    </row>
    <row r="21" spans="1:41" ht="12.75" x14ac:dyDescent="0.2">
      <c r="A21" s="1">
        <v>18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3" t="b">
        <v>0</v>
      </c>
      <c r="W21" s="3" t="b">
        <v>0</v>
      </c>
      <c r="X21" s="3" t="b">
        <v>0</v>
      </c>
      <c r="Y21" s="3" t="b">
        <v>0</v>
      </c>
      <c r="Z21" s="3" t="b">
        <v>0</v>
      </c>
      <c r="AA21" s="3" t="b">
        <v>0</v>
      </c>
      <c r="AB21" s="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0"/>
        <v>0</v>
      </c>
      <c r="AJ21" s="1">
        <f t="shared" si="1"/>
        <v>32</v>
      </c>
      <c r="AK21" s="4" t="str">
        <f t="shared" si="2"/>
        <v/>
      </c>
      <c r="AL21" s="4"/>
      <c r="AM21" s="4"/>
      <c r="AN21" s="4"/>
      <c r="AO21" s="4"/>
    </row>
    <row r="22" spans="1:41" ht="12.75" x14ac:dyDescent="0.2">
      <c r="A22" s="1">
        <v>19</v>
      </c>
      <c r="B22" s="4"/>
      <c r="C22" s="24" t="b">
        <v>0</v>
      </c>
      <c r="D22" s="24" t="b">
        <v>0</v>
      </c>
      <c r="E22" s="24" t="b">
        <v>0</v>
      </c>
      <c r="F22" s="24" t="b">
        <v>0</v>
      </c>
      <c r="G22" s="24" t="b">
        <v>0</v>
      </c>
      <c r="H22" s="24" t="b">
        <v>0</v>
      </c>
      <c r="I22" s="26" t="b">
        <v>0</v>
      </c>
      <c r="J22" s="26" t="b">
        <v>0</v>
      </c>
      <c r="K22" s="26" t="b">
        <v>0</v>
      </c>
      <c r="L22" s="26" t="b">
        <v>0</v>
      </c>
      <c r="M22" s="26" t="b">
        <v>0</v>
      </c>
      <c r="N22" s="26" t="b">
        <v>0</v>
      </c>
      <c r="O22" s="26" t="b">
        <v>0</v>
      </c>
      <c r="P22" s="24" t="b">
        <v>0</v>
      </c>
      <c r="Q22" s="24" t="b">
        <v>0</v>
      </c>
      <c r="R22" s="24" t="b">
        <v>0</v>
      </c>
      <c r="S22" s="24" t="b">
        <v>0</v>
      </c>
      <c r="T22" s="24" t="b">
        <v>0</v>
      </c>
      <c r="U22" s="24" t="b">
        <v>0</v>
      </c>
      <c r="V22" s="28" t="b">
        <v>0</v>
      </c>
      <c r="W22" s="28" t="b">
        <v>0</v>
      </c>
      <c r="X22" s="28" t="b">
        <v>0</v>
      </c>
      <c r="Y22" s="28" t="b">
        <v>0</v>
      </c>
      <c r="Z22" s="28" t="b">
        <v>0</v>
      </c>
      <c r="AA22" s="28" t="b">
        <v>0</v>
      </c>
      <c r="AB22" s="28" t="b">
        <v>0</v>
      </c>
      <c r="AC22" s="24" t="b">
        <v>0</v>
      </c>
      <c r="AD22" s="24" t="b">
        <v>0</v>
      </c>
      <c r="AE22" s="24" t="b">
        <v>0</v>
      </c>
      <c r="AF22" s="24" t="b">
        <v>0</v>
      </c>
      <c r="AG22" s="24" t="b">
        <v>0</v>
      </c>
      <c r="AH22" s="24" t="b">
        <v>0</v>
      </c>
      <c r="AI22" s="4">
        <f t="shared" si="0"/>
        <v>0</v>
      </c>
      <c r="AJ22" s="1">
        <f t="shared" si="1"/>
        <v>32</v>
      </c>
      <c r="AK22" s="4" t="str">
        <f t="shared" si="2"/>
        <v/>
      </c>
    </row>
    <row r="23" spans="1:41" ht="12.75" x14ac:dyDescent="0.2">
      <c r="A23" s="1">
        <v>20</v>
      </c>
      <c r="B23" s="4"/>
      <c r="C23" s="24" t="b">
        <v>0</v>
      </c>
      <c r="D23" s="24" t="b">
        <v>0</v>
      </c>
      <c r="E23" s="24" t="b">
        <v>0</v>
      </c>
      <c r="F23" s="24" t="b">
        <v>0</v>
      </c>
      <c r="G23" s="24" t="b">
        <v>0</v>
      </c>
      <c r="H23" s="24" t="b">
        <v>0</v>
      </c>
      <c r="I23" s="26" t="b">
        <v>0</v>
      </c>
      <c r="J23" s="26" t="b">
        <v>0</v>
      </c>
      <c r="K23" s="26" t="b">
        <v>0</v>
      </c>
      <c r="L23" s="26" t="b">
        <v>0</v>
      </c>
      <c r="M23" s="26" t="b">
        <v>0</v>
      </c>
      <c r="N23" s="26" t="b">
        <v>0</v>
      </c>
      <c r="O23" s="26" t="b">
        <v>0</v>
      </c>
      <c r="P23" s="24" t="b">
        <v>0</v>
      </c>
      <c r="Q23" s="24" t="b">
        <v>0</v>
      </c>
      <c r="R23" s="24" t="b">
        <v>0</v>
      </c>
      <c r="S23" s="24" t="b">
        <v>0</v>
      </c>
      <c r="T23" s="24" t="b">
        <v>0</v>
      </c>
      <c r="U23" s="24" t="b">
        <v>0</v>
      </c>
      <c r="V23" s="28" t="b">
        <v>0</v>
      </c>
      <c r="W23" s="28" t="b">
        <v>0</v>
      </c>
      <c r="X23" s="28" t="b">
        <v>0</v>
      </c>
      <c r="Y23" s="28" t="b">
        <v>0</v>
      </c>
      <c r="Z23" s="28" t="b">
        <v>0</v>
      </c>
      <c r="AA23" s="28" t="b">
        <v>0</v>
      </c>
      <c r="AB23" s="28" t="b">
        <v>0</v>
      </c>
      <c r="AC23" s="24" t="b">
        <v>0</v>
      </c>
      <c r="AD23" s="24" t="b">
        <v>0</v>
      </c>
      <c r="AE23" s="24" t="b">
        <v>0</v>
      </c>
      <c r="AF23" s="24" t="b">
        <v>0</v>
      </c>
      <c r="AG23" s="24" t="b">
        <v>0</v>
      </c>
      <c r="AH23" s="24" t="b">
        <v>0</v>
      </c>
      <c r="AI23" s="4">
        <f t="shared" si="0"/>
        <v>0</v>
      </c>
      <c r="AJ23" s="1">
        <f t="shared" si="1"/>
        <v>32</v>
      </c>
      <c r="AK23" s="4" t="str">
        <f t="shared" si="2"/>
        <v/>
      </c>
    </row>
    <row r="25" spans="1:41" ht="47.25" customHeight="1" x14ac:dyDescent="0.2">
      <c r="A25" s="38" t="s">
        <v>61</v>
      </c>
      <c r="B25" s="35"/>
      <c r="C25" s="39" t="s">
        <v>67</v>
      </c>
      <c r="D25" s="35"/>
      <c r="E25" s="35"/>
      <c r="F25" s="35"/>
      <c r="G25" s="35"/>
      <c r="H25" s="35"/>
      <c r="I25" s="39" t="s">
        <v>68</v>
      </c>
      <c r="J25" s="35"/>
      <c r="K25" s="35"/>
      <c r="L25" s="35"/>
      <c r="M25" s="35"/>
      <c r="N25" s="35"/>
      <c r="O25" s="35"/>
      <c r="P25" s="31"/>
      <c r="V25" s="39" t="s">
        <v>69</v>
      </c>
      <c r="W25" s="35"/>
      <c r="X25" s="35"/>
      <c r="Y25" s="35"/>
      <c r="Z25" s="35"/>
      <c r="AA25" s="35"/>
      <c r="AB25" s="35"/>
    </row>
  </sheetData>
  <mergeCells count="17">
    <mergeCell ref="P2:U2"/>
    <mergeCell ref="V2:AB2"/>
    <mergeCell ref="AC2:AH2"/>
    <mergeCell ref="V25:AB25"/>
    <mergeCell ref="A1:B1"/>
    <mergeCell ref="J1:P1"/>
    <mergeCell ref="Q1:W1"/>
    <mergeCell ref="X1:AD1"/>
    <mergeCell ref="AE1:AJ1"/>
    <mergeCell ref="A2:A3"/>
    <mergeCell ref="B2:B3"/>
    <mergeCell ref="C1:I1"/>
    <mergeCell ref="C2:H2"/>
    <mergeCell ref="A25:B25"/>
    <mergeCell ref="C25:H25"/>
    <mergeCell ref="I25:O25"/>
    <mergeCell ref="I2:O2"/>
  </mergeCells>
  <phoneticPr fontId="4" type="noConversion"/>
  <printOptions horizontalCentered="1" gridLines="1"/>
  <pageMargins left="0.7" right="0.7" top="0.75" bottom="0.75" header="0" footer="0"/>
  <pageSetup paperSize="9" fitToHeight="0" pageOrder="overThenDown" orientation="landscape" cellComments="atEnd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N25"/>
  <sheetViews>
    <sheetView workbookViewId="0"/>
  </sheetViews>
  <sheetFormatPr defaultColWidth="12.5703125" defaultRowHeight="15.75" customHeight="1" x14ac:dyDescent="0.2"/>
  <cols>
    <col min="1" max="1" width="5.42578125" customWidth="1"/>
    <col min="2" max="2" width="7.85546875" customWidth="1"/>
    <col min="3" max="34" width="3.42578125" customWidth="1"/>
    <col min="35" max="36" width="6" customWidth="1"/>
    <col min="37" max="37" width="9.7109375" customWidth="1"/>
    <col min="38" max="40" width="6.85546875" customWidth="1"/>
  </cols>
  <sheetData>
    <row r="1" spans="1:40" ht="12.75" x14ac:dyDescent="0.2">
      <c r="A1" s="34" t="s">
        <v>1</v>
      </c>
      <c r="B1" s="35"/>
      <c r="C1" s="34"/>
      <c r="D1" s="35"/>
      <c r="E1" s="35"/>
      <c r="F1" s="35"/>
      <c r="G1" s="35"/>
      <c r="H1" s="35"/>
      <c r="I1" s="35"/>
      <c r="J1" s="34"/>
      <c r="K1" s="35"/>
      <c r="L1" s="35"/>
      <c r="M1" s="35"/>
      <c r="N1" s="35"/>
      <c r="O1" s="35"/>
      <c r="P1" s="35"/>
      <c r="Q1" s="34"/>
      <c r="R1" s="35"/>
      <c r="S1" s="35"/>
      <c r="T1" s="35"/>
      <c r="U1" s="35"/>
      <c r="V1" s="35"/>
      <c r="W1" s="35"/>
      <c r="X1" s="34"/>
      <c r="Y1" s="35"/>
      <c r="Z1" s="35"/>
      <c r="AA1" s="35"/>
      <c r="AB1" s="35"/>
      <c r="AC1" s="35"/>
      <c r="AD1" s="35"/>
      <c r="AE1" s="34"/>
      <c r="AF1" s="35"/>
      <c r="AG1" s="35"/>
      <c r="AH1" s="35"/>
      <c r="AI1" s="35"/>
      <c r="AJ1" s="35"/>
      <c r="AK1" s="1"/>
      <c r="AL1" s="1"/>
      <c r="AM1" s="1"/>
      <c r="AN1" s="1"/>
    </row>
    <row r="2" spans="1:40" ht="12.75" x14ac:dyDescent="0.2">
      <c r="A2" s="34" t="s">
        <v>3</v>
      </c>
      <c r="B2" s="34" t="s">
        <v>4</v>
      </c>
      <c r="C2" s="36" t="s">
        <v>5</v>
      </c>
      <c r="D2" s="35"/>
      <c r="E2" s="35"/>
      <c r="F2" s="35"/>
      <c r="G2" s="35"/>
      <c r="H2" s="35"/>
      <c r="I2" s="37" t="s">
        <v>7</v>
      </c>
      <c r="J2" s="35"/>
      <c r="K2" s="35"/>
      <c r="L2" s="35"/>
      <c r="M2" s="35"/>
      <c r="N2" s="35"/>
      <c r="O2" s="35"/>
      <c r="P2" s="36" t="s">
        <v>9</v>
      </c>
      <c r="Q2" s="35"/>
      <c r="R2" s="35"/>
      <c r="S2" s="35"/>
      <c r="T2" s="35"/>
      <c r="U2" s="35"/>
      <c r="V2" s="37" t="s">
        <v>10</v>
      </c>
      <c r="W2" s="35"/>
      <c r="X2" s="35"/>
      <c r="Y2" s="35"/>
      <c r="Z2" s="35"/>
      <c r="AA2" s="35"/>
      <c r="AB2" s="35"/>
      <c r="AC2" s="36" t="s">
        <v>12</v>
      </c>
      <c r="AD2" s="35"/>
      <c r="AE2" s="35"/>
      <c r="AF2" s="35"/>
      <c r="AG2" s="35"/>
      <c r="AH2" s="35"/>
      <c r="AI2" s="1"/>
      <c r="AJ2" s="1"/>
      <c r="AK2" s="1"/>
      <c r="AL2" s="1"/>
      <c r="AM2" s="1"/>
      <c r="AN2" s="1"/>
    </row>
    <row r="3" spans="1:40" ht="12.75" x14ac:dyDescent="0.2">
      <c r="A3" s="35"/>
      <c r="B3" s="35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3">
        <v>1</v>
      </c>
      <c r="J3" s="3">
        <v>2</v>
      </c>
      <c r="K3" s="3">
        <v>3</v>
      </c>
      <c r="L3" s="3">
        <v>4</v>
      </c>
      <c r="M3" s="3">
        <v>5</v>
      </c>
      <c r="N3" s="3">
        <v>6</v>
      </c>
      <c r="O3" s="3">
        <v>7</v>
      </c>
      <c r="P3" s="2">
        <v>1</v>
      </c>
      <c r="Q3" s="2">
        <v>2</v>
      </c>
      <c r="R3" s="2">
        <v>3</v>
      </c>
      <c r="S3" s="2">
        <v>4</v>
      </c>
      <c r="T3" s="2">
        <v>5</v>
      </c>
      <c r="U3" s="2">
        <v>6</v>
      </c>
      <c r="V3" s="3">
        <v>1</v>
      </c>
      <c r="W3" s="3">
        <v>2</v>
      </c>
      <c r="X3" s="3">
        <v>3</v>
      </c>
      <c r="Y3" s="3">
        <v>4</v>
      </c>
      <c r="Z3" s="3">
        <v>5</v>
      </c>
      <c r="AA3" s="3">
        <v>6</v>
      </c>
      <c r="AB3" s="3">
        <v>7</v>
      </c>
      <c r="AC3" s="2">
        <v>1</v>
      </c>
      <c r="AD3" s="2">
        <v>2</v>
      </c>
      <c r="AE3" s="2">
        <v>3</v>
      </c>
      <c r="AF3" s="2">
        <v>4</v>
      </c>
      <c r="AG3" s="2">
        <v>5</v>
      </c>
      <c r="AH3" s="2">
        <v>6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 spans="1:40" ht="12.75" x14ac:dyDescent="0.2">
      <c r="A4" s="5">
        <v>1</v>
      </c>
      <c r="B4" s="5" t="s">
        <v>19</v>
      </c>
      <c r="C4" s="7" t="b">
        <v>1</v>
      </c>
      <c r="D4" s="7" t="b">
        <v>1</v>
      </c>
      <c r="E4" s="7" t="b">
        <v>1</v>
      </c>
      <c r="F4" s="7" t="b">
        <v>1</v>
      </c>
      <c r="G4" s="7" t="b">
        <v>1</v>
      </c>
      <c r="H4" s="7" t="b">
        <v>1</v>
      </c>
      <c r="I4" s="10" t="b">
        <v>1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7" t="b">
        <v>1</v>
      </c>
      <c r="Q4" s="7" t="b">
        <v>0</v>
      </c>
      <c r="R4" s="7" t="b">
        <v>0</v>
      </c>
      <c r="S4" s="7" t="b">
        <v>1</v>
      </c>
      <c r="T4" s="7" t="b">
        <v>1</v>
      </c>
      <c r="U4" s="7" t="b">
        <v>1</v>
      </c>
      <c r="V4" s="10" t="b">
        <v>1</v>
      </c>
      <c r="W4" s="10" t="b">
        <v>0</v>
      </c>
      <c r="X4" s="10" t="b">
        <v>0</v>
      </c>
      <c r="Y4" s="10" t="b">
        <v>1</v>
      </c>
      <c r="Z4" s="10" t="b">
        <v>1</v>
      </c>
      <c r="AA4" s="10" t="b">
        <v>1</v>
      </c>
      <c r="AB4" s="10" t="b">
        <v>1</v>
      </c>
      <c r="AC4" s="7" t="b">
        <v>1</v>
      </c>
      <c r="AD4" s="7" t="b">
        <v>1</v>
      </c>
      <c r="AE4" s="7" t="b">
        <v>1</v>
      </c>
      <c r="AF4" s="7" t="b">
        <v>1</v>
      </c>
      <c r="AG4" s="7" t="b">
        <v>1</v>
      </c>
      <c r="AH4" s="7" t="b">
        <v>1</v>
      </c>
      <c r="AI4" s="4">
        <f t="shared" ref="AI4:AI23" si="0">COUNTIF(C4:AH4, TRUE)</f>
        <v>22</v>
      </c>
      <c r="AJ4" s="1">
        <f t="shared" ref="AJ4:AJ23" si="1">32-AI4</f>
        <v>10</v>
      </c>
      <c r="AK4" s="4" t="str">
        <f t="shared" ref="AK4:AK23" si="2">IF(AJ4 &lt; 32 * (2/3), "미이수", "")</f>
        <v>미이수</v>
      </c>
      <c r="AL4" s="4"/>
      <c r="AM4" s="4"/>
      <c r="AN4" s="4"/>
    </row>
    <row r="5" spans="1:40" ht="12.75" x14ac:dyDescent="0.2">
      <c r="A5" s="1">
        <v>2</v>
      </c>
      <c r="B5" s="1" t="s">
        <v>22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0"/>
        <v>0</v>
      </c>
      <c r="AJ5" s="1">
        <f t="shared" si="1"/>
        <v>32</v>
      </c>
      <c r="AK5" s="4" t="str">
        <f t="shared" si="2"/>
        <v/>
      </c>
      <c r="AL5" s="4"/>
      <c r="AM5" s="4"/>
      <c r="AN5" s="4"/>
    </row>
    <row r="6" spans="1:40" ht="12.75" x14ac:dyDescent="0.2">
      <c r="A6" s="1">
        <v>3</v>
      </c>
      <c r="B6" s="1" t="s">
        <v>25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0"/>
        <v>0</v>
      </c>
      <c r="AJ6" s="1">
        <f t="shared" si="1"/>
        <v>32</v>
      </c>
      <c r="AK6" s="4" t="str">
        <f t="shared" si="2"/>
        <v/>
      </c>
      <c r="AL6" s="4"/>
      <c r="AM6" s="4"/>
      <c r="AN6" s="4"/>
    </row>
    <row r="7" spans="1:40" ht="12.75" x14ac:dyDescent="0.2">
      <c r="A7" s="1">
        <v>4</v>
      </c>
      <c r="B7" s="1" t="s">
        <v>26</v>
      </c>
      <c r="C7" s="12" t="b">
        <v>0</v>
      </c>
      <c r="D7" s="12" t="b">
        <v>0</v>
      </c>
      <c r="E7" s="12" t="b">
        <v>0</v>
      </c>
      <c r="F7" s="2" t="b">
        <v>1</v>
      </c>
      <c r="G7" s="2" t="b">
        <v>1</v>
      </c>
      <c r="H7" s="2" t="b">
        <v>1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0"/>
        <v>3</v>
      </c>
      <c r="AJ7" s="1">
        <f t="shared" si="1"/>
        <v>29</v>
      </c>
      <c r="AK7" s="4" t="str">
        <f t="shared" si="2"/>
        <v/>
      </c>
      <c r="AL7" s="4"/>
      <c r="AM7" s="4"/>
      <c r="AN7" s="4"/>
    </row>
    <row r="8" spans="1:40" ht="12.75" x14ac:dyDescent="0.2">
      <c r="A8" s="14">
        <v>5</v>
      </c>
      <c r="B8" s="14" t="s">
        <v>30</v>
      </c>
      <c r="C8" s="16" t="b">
        <v>0</v>
      </c>
      <c r="D8" s="16" t="b">
        <v>0</v>
      </c>
      <c r="E8" s="16" t="b">
        <v>0</v>
      </c>
      <c r="F8" s="16" t="b">
        <v>0</v>
      </c>
      <c r="G8" s="16" t="b">
        <v>0</v>
      </c>
      <c r="H8" s="16" t="b">
        <v>0</v>
      </c>
      <c r="I8" s="18" t="b">
        <v>0</v>
      </c>
      <c r="J8" s="18" t="b">
        <v>0</v>
      </c>
      <c r="K8" s="18" t="b">
        <v>0</v>
      </c>
      <c r="L8" s="18" t="b">
        <v>0</v>
      </c>
      <c r="M8" s="18" t="b">
        <v>0</v>
      </c>
      <c r="N8" s="18" t="b">
        <v>0</v>
      </c>
      <c r="O8" s="18" t="b">
        <v>0</v>
      </c>
      <c r="P8" s="16" t="b">
        <v>0</v>
      </c>
      <c r="Q8" s="16" t="b">
        <v>0</v>
      </c>
      <c r="R8" s="16" t="b">
        <v>0</v>
      </c>
      <c r="S8" s="16" t="b">
        <v>0</v>
      </c>
      <c r="T8" s="16" t="b">
        <v>0</v>
      </c>
      <c r="U8" s="16" t="b">
        <v>0</v>
      </c>
      <c r="V8" s="19" t="b">
        <v>0</v>
      </c>
      <c r="W8" s="18" t="b">
        <v>0</v>
      </c>
      <c r="X8" s="18" t="b">
        <v>0</v>
      </c>
      <c r="Y8" s="18" t="b">
        <v>0</v>
      </c>
      <c r="Z8" s="18" t="b">
        <v>0</v>
      </c>
      <c r="AA8" s="18" t="b">
        <v>0</v>
      </c>
      <c r="AB8" s="18" t="b">
        <v>0</v>
      </c>
      <c r="AC8" s="16" t="b">
        <v>0</v>
      </c>
      <c r="AD8" s="16" t="b">
        <v>0</v>
      </c>
      <c r="AE8" s="16" t="b">
        <v>0</v>
      </c>
      <c r="AF8" s="16" t="b">
        <v>0</v>
      </c>
      <c r="AG8" s="16" t="b">
        <v>0</v>
      </c>
      <c r="AH8" s="16" t="b">
        <v>0</v>
      </c>
      <c r="AI8" s="4">
        <f t="shared" si="0"/>
        <v>0</v>
      </c>
      <c r="AJ8" s="1">
        <f t="shared" si="1"/>
        <v>32</v>
      </c>
      <c r="AK8" s="4" t="str">
        <f t="shared" si="2"/>
        <v/>
      </c>
      <c r="AL8" s="4"/>
      <c r="AM8" s="4"/>
      <c r="AN8" s="4"/>
    </row>
    <row r="9" spans="1:40" ht="12.75" x14ac:dyDescent="0.2">
      <c r="A9" s="1">
        <v>6</v>
      </c>
      <c r="B9" s="1" t="s">
        <v>34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0"/>
        <v>0</v>
      </c>
      <c r="AJ9" s="1">
        <f t="shared" si="1"/>
        <v>32</v>
      </c>
      <c r="AK9" s="4" t="str">
        <f t="shared" si="2"/>
        <v/>
      </c>
      <c r="AL9" s="4"/>
      <c r="AM9" s="4"/>
      <c r="AN9" s="4"/>
    </row>
    <row r="10" spans="1:40" ht="12.75" x14ac:dyDescent="0.2">
      <c r="A10" s="1">
        <v>7</v>
      </c>
      <c r="B10" s="1" t="s">
        <v>36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0"/>
        <v>0</v>
      </c>
      <c r="AJ10" s="1">
        <f t="shared" si="1"/>
        <v>32</v>
      </c>
      <c r="AK10" s="4" t="str">
        <f t="shared" si="2"/>
        <v/>
      </c>
      <c r="AL10" s="4"/>
      <c r="AM10" s="4"/>
      <c r="AN10" s="4"/>
    </row>
    <row r="11" spans="1:40" ht="12.75" x14ac:dyDescent="0.2">
      <c r="A11" s="1">
        <v>8</v>
      </c>
      <c r="B11" s="1" t="s">
        <v>38</v>
      </c>
      <c r="C11" s="2" t="b">
        <v>1</v>
      </c>
      <c r="D11" s="2" t="b">
        <v>1</v>
      </c>
      <c r="E11" s="2" t="b">
        <v>1</v>
      </c>
      <c r="F11" s="2" t="b">
        <v>1</v>
      </c>
      <c r="G11" s="2" t="b">
        <v>1</v>
      </c>
      <c r="H11" s="2" t="b">
        <v>1</v>
      </c>
      <c r="I11" s="3" t="b">
        <v>1</v>
      </c>
      <c r="J11" s="3" t="b">
        <v>1</v>
      </c>
      <c r="K11" s="3" t="b">
        <v>1</v>
      </c>
      <c r="L11" s="3" t="b">
        <v>1</v>
      </c>
      <c r="M11" s="3" t="b">
        <v>1</v>
      </c>
      <c r="N11" s="3" t="b">
        <v>1</v>
      </c>
      <c r="O11" s="3" t="b">
        <v>1</v>
      </c>
      <c r="P11" s="2" t="b">
        <v>1</v>
      </c>
      <c r="Q11" s="2" t="b">
        <v>1</v>
      </c>
      <c r="R11" s="2" t="b">
        <v>1</v>
      </c>
      <c r="S11" s="2" t="b">
        <v>1</v>
      </c>
      <c r="T11" s="2" t="b">
        <v>1</v>
      </c>
      <c r="U11" s="2" t="b">
        <v>1</v>
      </c>
      <c r="V11" s="3" t="b">
        <v>1</v>
      </c>
      <c r="W11" s="3" t="b">
        <v>1</v>
      </c>
      <c r="X11" s="3" t="b">
        <v>1</v>
      </c>
      <c r="Y11" s="3" t="b">
        <v>1</v>
      </c>
      <c r="Z11" s="3" t="b">
        <v>1</v>
      </c>
      <c r="AA11" s="3" t="b">
        <v>1</v>
      </c>
      <c r="AB11" s="3" t="b">
        <v>1</v>
      </c>
      <c r="AC11" s="2" t="b">
        <v>1</v>
      </c>
      <c r="AD11" s="2" t="b">
        <v>1</v>
      </c>
      <c r="AE11" s="2" t="b">
        <v>1</v>
      </c>
      <c r="AF11" s="2" t="b">
        <v>1</v>
      </c>
      <c r="AG11" s="2" t="b">
        <v>1</v>
      </c>
      <c r="AH11" s="2" t="b">
        <v>1</v>
      </c>
      <c r="AI11" s="4">
        <f t="shared" si="0"/>
        <v>32</v>
      </c>
      <c r="AJ11" s="1">
        <f t="shared" si="1"/>
        <v>0</v>
      </c>
      <c r="AK11" s="4" t="str">
        <f t="shared" si="2"/>
        <v>미이수</v>
      </c>
      <c r="AL11" s="4"/>
      <c r="AM11" s="4"/>
      <c r="AN11" s="4"/>
    </row>
    <row r="12" spans="1:40" ht="12.75" x14ac:dyDescent="0.2">
      <c r="A12" s="1">
        <v>9</v>
      </c>
      <c r="B12" s="1" t="s">
        <v>40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0"/>
        <v>0</v>
      </c>
      <c r="AJ12" s="1">
        <f t="shared" si="1"/>
        <v>32</v>
      </c>
      <c r="AK12" s="4" t="str">
        <f t="shared" si="2"/>
        <v/>
      </c>
      <c r="AL12" s="4"/>
      <c r="AM12" s="4"/>
      <c r="AN12" s="4"/>
    </row>
    <row r="13" spans="1:40" ht="12.75" x14ac:dyDescent="0.2">
      <c r="A13" s="1">
        <v>10</v>
      </c>
      <c r="B13" s="1" t="s">
        <v>42</v>
      </c>
      <c r="C13" s="2" t="b">
        <v>1</v>
      </c>
      <c r="D13" s="2" t="b">
        <v>1</v>
      </c>
      <c r="E13" s="2" t="b">
        <v>1</v>
      </c>
      <c r="F13" s="2" t="b">
        <v>1</v>
      </c>
      <c r="G13" s="2" t="b">
        <v>1</v>
      </c>
      <c r="H13" s="2" t="b">
        <v>1</v>
      </c>
      <c r="I13" s="3" t="b">
        <v>1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2" t="b">
        <v>1</v>
      </c>
      <c r="Q13" s="12" t="b">
        <v>0</v>
      </c>
      <c r="R13" s="12" t="b">
        <v>0</v>
      </c>
      <c r="S13" s="2" t="b">
        <v>1</v>
      </c>
      <c r="T13" s="2" t="b">
        <v>1</v>
      </c>
      <c r="U13" s="2" t="b">
        <v>1</v>
      </c>
      <c r="V13" s="3" t="b">
        <v>1</v>
      </c>
      <c r="W13" s="13" t="b">
        <v>0</v>
      </c>
      <c r="X13" s="13" t="b">
        <v>0</v>
      </c>
      <c r="Y13" s="3" t="b">
        <v>1</v>
      </c>
      <c r="Z13" s="3" t="b">
        <v>1</v>
      </c>
      <c r="AA13" s="3" t="b">
        <v>1</v>
      </c>
      <c r="AB13" s="3" t="b">
        <v>1</v>
      </c>
      <c r="AC13" s="2" t="b">
        <v>1</v>
      </c>
      <c r="AD13" s="2" t="b">
        <v>1</v>
      </c>
      <c r="AE13" s="2" t="b">
        <v>1</v>
      </c>
      <c r="AF13" s="2" t="b">
        <v>1</v>
      </c>
      <c r="AG13" s="2" t="b">
        <v>1</v>
      </c>
      <c r="AH13" s="2" t="b">
        <v>1</v>
      </c>
      <c r="AI13" s="4">
        <f t="shared" si="0"/>
        <v>22</v>
      </c>
      <c r="AJ13" s="1">
        <f t="shared" si="1"/>
        <v>10</v>
      </c>
      <c r="AK13" s="4" t="str">
        <f t="shared" si="2"/>
        <v>미이수</v>
      </c>
      <c r="AL13" s="4"/>
      <c r="AM13" s="4"/>
      <c r="AN13" s="4"/>
    </row>
    <row r="14" spans="1:40" ht="12.75" x14ac:dyDescent="0.2">
      <c r="A14" s="5">
        <v>11</v>
      </c>
      <c r="B14" s="5" t="s">
        <v>44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10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8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0"/>
        <v>0</v>
      </c>
      <c r="AJ14" s="1">
        <f t="shared" si="1"/>
        <v>32</v>
      </c>
      <c r="AK14" s="4" t="str">
        <f t="shared" si="2"/>
        <v/>
      </c>
      <c r="AL14" s="4"/>
      <c r="AM14" s="4"/>
      <c r="AN14" s="4"/>
    </row>
    <row r="15" spans="1:40" ht="12.75" x14ac:dyDescent="0.2">
      <c r="A15" s="1">
        <v>12</v>
      </c>
      <c r="B15" s="1" t="s">
        <v>48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0"/>
        <v>0</v>
      </c>
      <c r="AJ15" s="1">
        <f t="shared" si="1"/>
        <v>32</v>
      </c>
      <c r="AK15" s="4" t="str">
        <f t="shared" si="2"/>
        <v/>
      </c>
      <c r="AL15" s="4"/>
      <c r="AM15" s="4"/>
      <c r="AN15" s="4"/>
    </row>
    <row r="16" spans="1:40" ht="12.75" x14ac:dyDescent="0.2">
      <c r="A16" s="1">
        <v>13</v>
      </c>
      <c r="B16" s="1" t="s">
        <v>50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0"/>
        <v>0</v>
      </c>
      <c r="AJ16" s="1">
        <f t="shared" si="1"/>
        <v>32</v>
      </c>
      <c r="AK16" s="4" t="str">
        <f t="shared" si="2"/>
        <v/>
      </c>
      <c r="AL16" s="4"/>
      <c r="AM16" s="4"/>
      <c r="AN16" s="4"/>
    </row>
    <row r="17" spans="1:40" ht="12.75" x14ac:dyDescent="0.2">
      <c r="A17" s="1">
        <v>14</v>
      </c>
      <c r="B17" s="1" t="s">
        <v>53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0"/>
        <v>0</v>
      </c>
      <c r="AJ17" s="1">
        <f t="shared" si="1"/>
        <v>32</v>
      </c>
      <c r="AK17" s="4" t="str">
        <f t="shared" si="2"/>
        <v/>
      </c>
      <c r="AL17" s="4"/>
      <c r="AM17" s="4"/>
      <c r="AN17" s="4"/>
    </row>
    <row r="18" spans="1:40" ht="12.75" x14ac:dyDescent="0.2">
      <c r="A18" s="14">
        <v>15</v>
      </c>
      <c r="B18" s="14" t="s">
        <v>55</v>
      </c>
      <c r="C18" s="21" t="b">
        <v>1</v>
      </c>
      <c r="D18" s="21" t="b">
        <v>1</v>
      </c>
      <c r="E18" s="21" t="b">
        <v>1</v>
      </c>
      <c r="F18" s="21" t="b">
        <v>1</v>
      </c>
      <c r="G18" s="21" t="b">
        <v>1</v>
      </c>
      <c r="H18" s="21" t="b">
        <v>1</v>
      </c>
      <c r="I18" s="19" t="b">
        <v>1</v>
      </c>
      <c r="J18" s="19" t="b">
        <v>1</v>
      </c>
      <c r="K18" s="19" t="b">
        <v>1</v>
      </c>
      <c r="L18" s="19" t="b">
        <v>1</v>
      </c>
      <c r="M18" s="19" t="b">
        <v>1</v>
      </c>
      <c r="N18" s="19" t="b">
        <v>1</v>
      </c>
      <c r="O18" s="19" t="b">
        <v>1</v>
      </c>
      <c r="P18" s="21" t="b">
        <v>1</v>
      </c>
      <c r="Q18" s="21" t="b">
        <v>1</v>
      </c>
      <c r="R18" s="21" t="b">
        <v>1</v>
      </c>
      <c r="S18" s="21" t="b">
        <v>1</v>
      </c>
      <c r="T18" s="21" t="b">
        <v>1</v>
      </c>
      <c r="U18" s="21" t="b">
        <v>1</v>
      </c>
      <c r="V18" s="19" t="b">
        <v>1</v>
      </c>
      <c r="W18" s="19" t="b">
        <v>1</v>
      </c>
      <c r="X18" s="19" t="b">
        <v>1</v>
      </c>
      <c r="Y18" s="19" t="b">
        <v>1</v>
      </c>
      <c r="Z18" s="19" t="b">
        <v>1</v>
      </c>
      <c r="AA18" s="19" t="b">
        <v>1</v>
      </c>
      <c r="AB18" s="19" t="b">
        <v>1</v>
      </c>
      <c r="AC18" s="21" t="b">
        <v>1</v>
      </c>
      <c r="AD18" s="21" t="b">
        <v>1</v>
      </c>
      <c r="AE18" s="21" t="b">
        <v>1</v>
      </c>
      <c r="AF18" s="21" t="b">
        <v>1</v>
      </c>
      <c r="AG18" s="21" t="b">
        <v>1</v>
      </c>
      <c r="AH18" s="21" t="b">
        <v>1</v>
      </c>
      <c r="AI18" s="4">
        <f t="shared" si="0"/>
        <v>32</v>
      </c>
      <c r="AJ18" s="1">
        <f t="shared" si="1"/>
        <v>0</v>
      </c>
      <c r="AK18" s="4" t="str">
        <f t="shared" si="2"/>
        <v>미이수</v>
      </c>
      <c r="AL18" s="4"/>
      <c r="AM18" s="4"/>
      <c r="AN18" s="4"/>
    </row>
    <row r="19" spans="1:40" ht="12.75" x14ac:dyDescent="0.2">
      <c r="A19" s="1">
        <v>16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0"/>
        <v>0</v>
      </c>
      <c r="AJ19" s="1">
        <f t="shared" si="1"/>
        <v>32</v>
      </c>
      <c r="AK19" s="4" t="str">
        <f t="shared" si="2"/>
        <v/>
      </c>
      <c r="AL19" s="4"/>
      <c r="AM19" s="4"/>
      <c r="AN19" s="4"/>
    </row>
    <row r="20" spans="1:40" ht="12.75" x14ac:dyDescent="0.2">
      <c r="A20" s="1">
        <v>17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0"/>
        <v>0</v>
      </c>
      <c r="AJ20" s="1">
        <f t="shared" si="1"/>
        <v>32</v>
      </c>
      <c r="AK20" s="4" t="str">
        <f t="shared" si="2"/>
        <v/>
      </c>
      <c r="AL20" s="4"/>
      <c r="AM20" s="4"/>
      <c r="AN20" s="4"/>
    </row>
    <row r="21" spans="1:40" ht="12.75" x14ac:dyDescent="0.2">
      <c r="A21" s="1">
        <v>18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0"/>
        <v>0</v>
      </c>
      <c r="AJ21" s="1">
        <f t="shared" si="1"/>
        <v>32</v>
      </c>
      <c r="AK21" s="4" t="str">
        <f t="shared" si="2"/>
        <v/>
      </c>
      <c r="AL21" s="4"/>
      <c r="AM21" s="4"/>
      <c r="AN21" s="4"/>
    </row>
    <row r="22" spans="1:40" ht="12.75" x14ac:dyDescent="0.2">
      <c r="A22" s="1">
        <v>19</v>
      </c>
      <c r="B22" s="4"/>
      <c r="C22" s="24" t="b">
        <v>0</v>
      </c>
      <c r="D22" s="24" t="b">
        <v>0</v>
      </c>
      <c r="E22" s="24" t="b">
        <v>0</v>
      </c>
      <c r="F22" s="24" t="b">
        <v>0</v>
      </c>
      <c r="G22" s="24" t="b">
        <v>0</v>
      </c>
      <c r="H22" s="24" t="b">
        <v>0</v>
      </c>
      <c r="I22" s="26" t="b">
        <v>0</v>
      </c>
      <c r="J22" s="26" t="b">
        <v>0</v>
      </c>
      <c r="K22" s="26" t="b">
        <v>0</v>
      </c>
      <c r="L22" s="26" t="b">
        <v>0</v>
      </c>
      <c r="M22" s="26" t="b">
        <v>0</v>
      </c>
      <c r="N22" s="26" t="b">
        <v>0</v>
      </c>
      <c r="O22" s="26" t="b">
        <v>0</v>
      </c>
      <c r="P22" s="24" t="b">
        <v>0</v>
      </c>
      <c r="Q22" s="24" t="b">
        <v>0</v>
      </c>
      <c r="R22" s="24" t="b">
        <v>0</v>
      </c>
      <c r="S22" s="24" t="b">
        <v>0</v>
      </c>
      <c r="T22" s="24" t="b">
        <v>0</v>
      </c>
      <c r="U22" s="24" t="b">
        <v>0</v>
      </c>
      <c r="V22" s="28" t="b">
        <v>0</v>
      </c>
      <c r="W22" s="26" t="b">
        <v>0</v>
      </c>
      <c r="X22" s="26" t="b">
        <v>0</v>
      </c>
      <c r="Y22" s="26" t="b">
        <v>0</v>
      </c>
      <c r="Z22" s="26" t="b">
        <v>0</v>
      </c>
      <c r="AA22" s="26" t="b">
        <v>0</v>
      </c>
      <c r="AB22" s="26" t="b">
        <v>0</v>
      </c>
      <c r="AC22" s="24" t="b">
        <v>0</v>
      </c>
      <c r="AD22" s="24" t="b">
        <v>0</v>
      </c>
      <c r="AE22" s="24" t="b">
        <v>0</v>
      </c>
      <c r="AF22" s="24" t="b">
        <v>0</v>
      </c>
      <c r="AG22" s="24" t="b">
        <v>0</v>
      </c>
      <c r="AH22" s="24" t="b">
        <v>0</v>
      </c>
      <c r="AI22" s="4">
        <f t="shared" si="0"/>
        <v>0</v>
      </c>
      <c r="AJ22" s="1">
        <f t="shared" si="1"/>
        <v>32</v>
      </c>
      <c r="AK22" s="4" t="str">
        <f t="shared" si="2"/>
        <v/>
      </c>
    </row>
    <row r="23" spans="1:40" ht="12.75" x14ac:dyDescent="0.2">
      <c r="A23" s="1">
        <v>20</v>
      </c>
      <c r="B23" s="4"/>
      <c r="C23" s="24" t="b">
        <v>0</v>
      </c>
      <c r="D23" s="24" t="b">
        <v>0</v>
      </c>
      <c r="E23" s="24" t="b">
        <v>0</v>
      </c>
      <c r="F23" s="24" t="b">
        <v>0</v>
      </c>
      <c r="G23" s="24" t="b">
        <v>0</v>
      </c>
      <c r="H23" s="24" t="b">
        <v>0</v>
      </c>
      <c r="I23" s="26" t="b">
        <v>0</v>
      </c>
      <c r="J23" s="26" t="b">
        <v>0</v>
      </c>
      <c r="K23" s="26" t="b">
        <v>0</v>
      </c>
      <c r="L23" s="26" t="b">
        <v>0</v>
      </c>
      <c r="M23" s="26" t="b">
        <v>0</v>
      </c>
      <c r="N23" s="26" t="b">
        <v>0</v>
      </c>
      <c r="O23" s="26" t="b">
        <v>0</v>
      </c>
      <c r="P23" s="24" t="b">
        <v>0</v>
      </c>
      <c r="Q23" s="24" t="b">
        <v>0</v>
      </c>
      <c r="R23" s="24" t="b">
        <v>0</v>
      </c>
      <c r="S23" s="24" t="b">
        <v>0</v>
      </c>
      <c r="T23" s="24" t="b">
        <v>0</v>
      </c>
      <c r="U23" s="24" t="b">
        <v>0</v>
      </c>
      <c r="V23" s="28" t="b">
        <v>0</v>
      </c>
      <c r="W23" s="26" t="b">
        <v>0</v>
      </c>
      <c r="X23" s="26" t="b">
        <v>0</v>
      </c>
      <c r="Y23" s="26" t="b">
        <v>0</v>
      </c>
      <c r="Z23" s="26" t="b">
        <v>0</v>
      </c>
      <c r="AA23" s="26" t="b">
        <v>0</v>
      </c>
      <c r="AB23" s="26" t="b">
        <v>0</v>
      </c>
      <c r="AC23" s="24" t="b">
        <v>0</v>
      </c>
      <c r="AD23" s="24" t="b">
        <v>0</v>
      </c>
      <c r="AE23" s="24" t="b">
        <v>0</v>
      </c>
      <c r="AF23" s="24" t="b">
        <v>0</v>
      </c>
      <c r="AG23" s="24" t="b">
        <v>0</v>
      </c>
      <c r="AH23" s="24" t="b">
        <v>0</v>
      </c>
      <c r="AI23" s="4">
        <f t="shared" si="0"/>
        <v>0</v>
      </c>
      <c r="AJ23" s="1">
        <f t="shared" si="1"/>
        <v>32</v>
      </c>
      <c r="AK23" s="4" t="str">
        <f t="shared" si="2"/>
        <v/>
      </c>
    </row>
    <row r="25" spans="1:40" ht="49.5" customHeight="1" x14ac:dyDescent="0.2">
      <c r="B25" s="29" t="s">
        <v>61</v>
      </c>
      <c r="C25" s="39" t="s">
        <v>63</v>
      </c>
      <c r="D25" s="35"/>
      <c r="E25" s="35"/>
      <c r="F25" s="35"/>
      <c r="G25" s="35"/>
      <c r="H25" s="35"/>
      <c r="I25" s="39" t="s">
        <v>64</v>
      </c>
      <c r="J25" s="35"/>
      <c r="K25" s="35"/>
      <c r="L25" s="35"/>
      <c r="M25" s="35"/>
      <c r="N25" s="35"/>
      <c r="O25" s="35"/>
      <c r="P25" s="40" t="s">
        <v>65</v>
      </c>
      <c r="Q25" s="35"/>
      <c r="R25" s="35"/>
      <c r="S25" s="35"/>
      <c r="T25" s="35"/>
      <c r="U25" s="35"/>
      <c r="V25" s="40" t="s">
        <v>65</v>
      </c>
      <c r="W25" s="35"/>
      <c r="X25" s="35"/>
      <c r="Y25" s="35"/>
      <c r="Z25" s="35"/>
      <c r="AA25" s="35"/>
      <c r="AB25" s="35"/>
      <c r="AC25" s="40" t="s">
        <v>66</v>
      </c>
      <c r="AD25" s="35"/>
      <c r="AE25" s="35"/>
      <c r="AF25" s="35"/>
      <c r="AG25" s="35"/>
      <c r="AH25" s="35"/>
    </row>
  </sheetData>
  <mergeCells count="18">
    <mergeCell ref="A2:A3"/>
    <mergeCell ref="B2:B3"/>
    <mergeCell ref="A1:B1"/>
    <mergeCell ref="J1:P1"/>
    <mergeCell ref="Q1:W1"/>
    <mergeCell ref="X1:AD1"/>
    <mergeCell ref="AE1:AJ1"/>
    <mergeCell ref="V25:AB25"/>
    <mergeCell ref="AC25:AH25"/>
    <mergeCell ref="I2:O2"/>
    <mergeCell ref="P2:U2"/>
    <mergeCell ref="V2:AB2"/>
    <mergeCell ref="AC2:AH2"/>
    <mergeCell ref="C1:I1"/>
    <mergeCell ref="C2:H2"/>
    <mergeCell ref="C25:H25"/>
    <mergeCell ref="I25:O25"/>
    <mergeCell ref="P25:U25"/>
  </mergeCells>
  <phoneticPr fontId="4" type="noConversion"/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N25"/>
  <sheetViews>
    <sheetView workbookViewId="0"/>
  </sheetViews>
  <sheetFormatPr defaultColWidth="12.5703125" defaultRowHeight="15.75" customHeight="1" x14ac:dyDescent="0.2"/>
  <cols>
    <col min="1" max="1" width="5.42578125" customWidth="1"/>
    <col min="2" max="2" width="9.140625" customWidth="1"/>
    <col min="3" max="34" width="3.42578125" customWidth="1"/>
    <col min="35" max="36" width="6" customWidth="1"/>
    <col min="37" max="37" width="9.7109375" customWidth="1"/>
    <col min="38" max="40" width="6.85546875" customWidth="1"/>
  </cols>
  <sheetData>
    <row r="1" spans="1:40" ht="12.75" x14ac:dyDescent="0.2">
      <c r="A1" s="34" t="s">
        <v>0</v>
      </c>
      <c r="B1" s="35"/>
      <c r="C1" s="34"/>
      <c r="D1" s="35"/>
      <c r="E1" s="35"/>
      <c r="F1" s="35"/>
      <c r="G1" s="35"/>
      <c r="H1" s="35"/>
      <c r="I1" s="35"/>
      <c r="J1" s="34"/>
      <c r="K1" s="35"/>
      <c r="L1" s="35"/>
      <c r="M1" s="35"/>
      <c r="N1" s="35"/>
      <c r="O1" s="35"/>
      <c r="P1" s="35"/>
      <c r="Q1" s="34"/>
      <c r="R1" s="35"/>
      <c r="S1" s="35"/>
      <c r="T1" s="35"/>
      <c r="U1" s="35"/>
      <c r="V1" s="35"/>
      <c r="W1" s="35"/>
      <c r="X1" s="34"/>
      <c r="Y1" s="35"/>
      <c r="Z1" s="35"/>
      <c r="AA1" s="35"/>
      <c r="AB1" s="35"/>
      <c r="AC1" s="35"/>
      <c r="AD1" s="35"/>
      <c r="AE1" s="34"/>
      <c r="AF1" s="35"/>
      <c r="AG1" s="35"/>
      <c r="AH1" s="35"/>
      <c r="AI1" s="35"/>
      <c r="AJ1" s="35"/>
      <c r="AK1" s="1"/>
      <c r="AL1" s="1"/>
      <c r="AM1" s="1"/>
      <c r="AN1" s="1"/>
    </row>
    <row r="2" spans="1:40" ht="12.75" x14ac:dyDescent="0.2">
      <c r="A2" s="34" t="s">
        <v>3</v>
      </c>
      <c r="B2" s="34" t="s">
        <v>4</v>
      </c>
      <c r="C2" s="36" t="s">
        <v>5</v>
      </c>
      <c r="D2" s="35"/>
      <c r="E2" s="35"/>
      <c r="F2" s="35"/>
      <c r="G2" s="35"/>
      <c r="H2" s="35"/>
      <c r="I2" s="37" t="s">
        <v>7</v>
      </c>
      <c r="J2" s="35"/>
      <c r="K2" s="35"/>
      <c r="L2" s="35"/>
      <c r="M2" s="35"/>
      <c r="N2" s="35"/>
      <c r="O2" s="35"/>
      <c r="P2" s="36" t="s">
        <v>9</v>
      </c>
      <c r="Q2" s="35"/>
      <c r="R2" s="35"/>
      <c r="S2" s="35"/>
      <c r="T2" s="35"/>
      <c r="U2" s="35"/>
      <c r="V2" s="37" t="s">
        <v>10</v>
      </c>
      <c r="W2" s="35"/>
      <c r="X2" s="35"/>
      <c r="Y2" s="35"/>
      <c r="Z2" s="35"/>
      <c r="AA2" s="35"/>
      <c r="AB2" s="35"/>
      <c r="AC2" s="36" t="s">
        <v>12</v>
      </c>
      <c r="AD2" s="35"/>
      <c r="AE2" s="35"/>
      <c r="AF2" s="35"/>
      <c r="AG2" s="35"/>
      <c r="AH2" s="35"/>
      <c r="AI2" s="1"/>
      <c r="AJ2" s="1"/>
      <c r="AK2" s="1"/>
      <c r="AL2" s="1"/>
      <c r="AM2" s="1"/>
      <c r="AN2" s="1"/>
    </row>
    <row r="3" spans="1:40" ht="12.75" x14ac:dyDescent="0.2">
      <c r="A3" s="35"/>
      <c r="B3" s="35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3">
        <v>1</v>
      </c>
      <c r="J3" s="3">
        <v>2</v>
      </c>
      <c r="K3" s="3">
        <v>3</v>
      </c>
      <c r="L3" s="3">
        <v>4</v>
      </c>
      <c r="M3" s="3">
        <v>5</v>
      </c>
      <c r="N3" s="3">
        <v>6</v>
      </c>
      <c r="O3" s="3">
        <v>7</v>
      </c>
      <c r="P3" s="2">
        <v>1</v>
      </c>
      <c r="Q3" s="2">
        <v>2</v>
      </c>
      <c r="R3" s="2">
        <v>3</v>
      </c>
      <c r="S3" s="2">
        <v>4</v>
      </c>
      <c r="T3" s="2">
        <v>5</v>
      </c>
      <c r="U3" s="2">
        <v>6</v>
      </c>
      <c r="V3" s="3">
        <v>1</v>
      </c>
      <c r="W3" s="3">
        <v>2</v>
      </c>
      <c r="X3" s="3">
        <v>3</v>
      </c>
      <c r="Y3" s="3">
        <v>4</v>
      </c>
      <c r="Z3" s="3">
        <v>5</v>
      </c>
      <c r="AA3" s="3">
        <v>6</v>
      </c>
      <c r="AB3" s="3">
        <v>7</v>
      </c>
      <c r="AC3" s="2">
        <v>1</v>
      </c>
      <c r="AD3" s="2">
        <v>2</v>
      </c>
      <c r="AE3" s="2">
        <v>3</v>
      </c>
      <c r="AF3" s="2">
        <v>4</v>
      </c>
      <c r="AG3" s="2">
        <v>5</v>
      </c>
      <c r="AH3" s="2">
        <v>6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 spans="1:40" ht="12.75" x14ac:dyDescent="0.2">
      <c r="A4" s="5">
        <v>1</v>
      </c>
      <c r="B4" s="5" t="s">
        <v>21</v>
      </c>
      <c r="C4" s="7" t="b">
        <v>0</v>
      </c>
      <c r="D4" s="7" t="b">
        <v>0</v>
      </c>
      <c r="E4" s="8" t="b">
        <v>0</v>
      </c>
      <c r="F4" s="7" t="b">
        <v>0</v>
      </c>
      <c r="G4" s="7" t="b">
        <v>0</v>
      </c>
      <c r="H4" s="7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7" t="b">
        <v>0</v>
      </c>
      <c r="Q4" s="7" t="b">
        <v>0</v>
      </c>
      <c r="R4" s="7" t="b">
        <v>0</v>
      </c>
      <c r="S4" s="8" t="b">
        <v>0</v>
      </c>
      <c r="T4" s="7" t="b">
        <v>0</v>
      </c>
      <c r="U4" s="7" t="b">
        <v>0</v>
      </c>
      <c r="V4" s="10" t="b">
        <v>0</v>
      </c>
      <c r="W4" s="10" t="b">
        <v>0</v>
      </c>
      <c r="X4" s="10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8" t="b">
        <v>0</v>
      </c>
      <c r="AD4" s="8" t="b">
        <v>0</v>
      </c>
      <c r="AE4" s="8" t="b">
        <v>0</v>
      </c>
      <c r="AF4" s="7" t="b">
        <v>0</v>
      </c>
      <c r="AG4" s="8" t="b">
        <v>0</v>
      </c>
      <c r="AH4" s="8" t="b">
        <v>0</v>
      </c>
      <c r="AI4" s="4">
        <f t="shared" ref="AI4:AI23" si="0">COUNTIF(C4:AH4, TRUE)</f>
        <v>0</v>
      </c>
      <c r="AJ4" s="1">
        <f t="shared" ref="AJ4:AJ23" si="1">32-AI4</f>
        <v>32</v>
      </c>
      <c r="AK4" s="4" t="str">
        <f t="shared" ref="AK4:AK23" si="2">IF(AJ4 &lt; 32 * (2/3), "미이수", "")</f>
        <v/>
      </c>
      <c r="AL4" s="4"/>
      <c r="AM4" s="4"/>
      <c r="AN4" s="4"/>
    </row>
    <row r="5" spans="1:40" ht="12.75" x14ac:dyDescent="0.2">
      <c r="A5" s="1">
        <v>2</v>
      </c>
      <c r="B5" s="1" t="s">
        <v>24</v>
      </c>
      <c r="C5" s="12" t="b">
        <v>0</v>
      </c>
      <c r="D5" s="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0"/>
        <v>0</v>
      </c>
      <c r="AJ5" s="1">
        <f t="shared" si="1"/>
        <v>32</v>
      </c>
      <c r="AK5" s="4" t="str">
        <f t="shared" si="2"/>
        <v/>
      </c>
      <c r="AL5" s="4"/>
      <c r="AM5" s="4"/>
      <c r="AN5" s="4"/>
    </row>
    <row r="6" spans="1:40" ht="12.75" x14ac:dyDescent="0.2">
      <c r="A6" s="1">
        <v>3</v>
      </c>
      <c r="B6" s="1" t="s">
        <v>29</v>
      </c>
      <c r="C6" s="12" t="b">
        <v>0</v>
      </c>
      <c r="D6" s="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5" t="b">
        <v>0</v>
      </c>
      <c r="AD6" s="17" t="b">
        <v>0</v>
      </c>
      <c r="AE6" s="17" t="b">
        <v>0</v>
      </c>
      <c r="AF6" s="17" t="b">
        <v>0</v>
      </c>
      <c r="AG6" s="17" t="b">
        <v>0</v>
      </c>
      <c r="AH6" s="15" t="b">
        <v>0</v>
      </c>
      <c r="AI6" s="4">
        <f t="shared" si="0"/>
        <v>0</v>
      </c>
      <c r="AJ6" s="1">
        <f t="shared" si="1"/>
        <v>32</v>
      </c>
      <c r="AK6" s="4" t="str">
        <f t="shared" si="2"/>
        <v/>
      </c>
      <c r="AL6" s="4"/>
      <c r="AM6" s="4"/>
      <c r="AN6" s="4"/>
    </row>
    <row r="7" spans="1:40" ht="12.75" x14ac:dyDescent="0.2">
      <c r="A7" s="1">
        <v>4</v>
      </c>
      <c r="B7" s="1" t="s">
        <v>32</v>
      </c>
      <c r="C7" s="12" t="b">
        <v>0</v>
      </c>
      <c r="D7" s="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5" t="b">
        <v>0</v>
      </c>
      <c r="J7" s="17" t="b">
        <v>0</v>
      </c>
      <c r="K7" s="17" t="b">
        <v>0</v>
      </c>
      <c r="L7" s="17" t="b">
        <v>0</v>
      </c>
      <c r="M7" s="17" t="b">
        <v>0</v>
      </c>
      <c r="N7" s="17" t="b">
        <v>0</v>
      </c>
      <c r="O7" s="17" t="b">
        <v>0</v>
      </c>
      <c r="P7" s="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0"/>
        <v>0</v>
      </c>
      <c r="AJ7" s="1">
        <f t="shared" si="1"/>
        <v>32</v>
      </c>
      <c r="AK7" s="4" t="str">
        <f t="shared" si="2"/>
        <v/>
      </c>
      <c r="AL7" s="4"/>
      <c r="AM7" s="4"/>
      <c r="AN7" s="4"/>
    </row>
    <row r="8" spans="1:40" ht="12.75" x14ac:dyDescent="0.2">
      <c r="A8" s="14">
        <v>5</v>
      </c>
      <c r="B8" s="14" t="s">
        <v>35</v>
      </c>
      <c r="C8" s="16" t="b">
        <v>0</v>
      </c>
      <c r="D8" s="21" t="b">
        <v>0</v>
      </c>
      <c r="E8" s="16" t="b">
        <v>0</v>
      </c>
      <c r="F8" s="16" t="b">
        <v>0</v>
      </c>
      <c r="G8" s="16" t="b">
        <v>0</v>
      </c>
      <c r="H8" s="16" t="b">
        <v>0</v>
      </c>
      <c r="I8" s="18" t="b">
        <v>0</v>
      </c>
      <c r="J8" s="18" t="b">
        <v>0</v>
      </c>
      <c r="K8" s="18" t="b">
        <v>0</v>
      </c>
      <c r="L8" s="18" t="b">
        <v>0</v>
      </c>
      <c r="M8" s="18" t="b">
        <v>0</v>
      </c>
      <c r="N8" s="18" t="b">
        <v>0</v>
      </c>
      <c r="O8" s="18" t="b">
        <v>0</v>
      </c>
      <c r="P8" s="21" t="b">
        <v>0</v>
      </c>
      <c r="Q8" s="16" t="b">
        <v>0</v>
      </c>
      <c r="R8" s="16" t="b">
        <v>0</v>
      </c>
      <c r="S8" s="16" t="b">
        <v>0</v>
      </c>
      <c r="T8" s="16" t="b">
        <v>0</v>
      </c>
      <c r="U8" s="16" t="b">
        <v>0</v>
      </c>
      <c r="V8" s="18" t="b">
        <v>0</v>
      </c>
      <c r="W8" s="18" t="b">
        <v>0</v>
      </c>
      <c r="X8" s="18" t="b">
        <v>0</v>
      </c>
      <c r="Y8" s="18" t="b">
        <v>0</v>
      </c>
      <c r="Z8" s="18" t="b">
        <v>0</v>
      </c>
      <c r="AA8" s="18" t="b">
        <v>0</v>
      </c>
      <c r="AB8" s="18" t="b">
        <v>0</v>
      </c>
      <c r="AC8" s="16" t="b">
        <v>0</v>
      </c>
      <c r="AD8" s="16" t="b">
        <v>0</v>
      </c>
      <c r="AE8" s="16" t="b">
        <v>0</v>
      </c>
      <c r="AF8" s="16" t="b">
        <v>0</v>
      </c>
      <c r="AG8" s="16" t="b">
        <v>0</v>
      </c>
      <c r="AH8" s="16" t="b">
        <v>0</v>
      </c>
      <c r="AI8" s="4">
        <f t="shared" si="0"/>
        <v>0</v>
      </c>
      <c r="AJ8" s="1">
        <f t="shared" si="1"/>
        <v>32</v>
      </c>
      <c r="AK8" s="4" t="str">
        <f t="shared" si="2"/>
        <v/>
      </c>
      <c r="AL8" s="4"/>
      <c r="AM8" s="4"/>
      <c r="AN8" s="4"/>
    </row>
    <row r="9" spans="1:40" ht="12.75" x14ac:dyDescent="0.2">
      <c r="A9" s="1">
        <v>6</v>
      </c>
      <c r="B9" s="1" t="s">
        <v>41</v>
      </c>
      <c r="C9" s="12" t="b">
        <v>0</v>
      </c>
      <c r="D9" s="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0"/>
        <v>0</v>
      </c>
      <c r="AJ9" s="1">
        <f t="shared" si="1"/>
        <v>32</v>
      </c>
      <c r="AK9" s="4" t="str">
        <f t="shared" si="2"/>
        <v/>
      </c>
      <c r="AL9" s="4"/>
      <c r="AM9" s="4"/>
      <c r="AN9" s="4"/>
    </row>
    <row r="10" spans="1:40" ht="12.75" x14ac:dyDescent="0.2">
      <c r="A10" s="1">
        <v>7</v>
      </c>
      <c r="B10" s="1" t="s">
        <v>45</v>
      </c>
      <c r="C10" s="12" t="b">
        <v>0</v>
      </c>
      <c r="D10" s="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0"/>
        <v>0</v>
      </c>
      <c r="AJ10" s="1">
        <f t="shared" si="1"/>
        <v>32</v>
      </c>
      <c r="AK10" s="4" t="str">
        <f t="shared" si="2"/>
        <v/>
      </c>
      <c r="AL10" s="4"/>
      <c r="AM10" s="4"/>
      <c r="AN10" s="4"/>
    </row>
    <row r="11" spans="1:40" ht="12.75" x14ac:dyDescent="0.2">
      <c r="A11" s="1">
        <v>8</v>
      </c>
      <c r="B11" s="1" t="s">
        <v>51</v>
      </c>
      <c r="C11" s="12" t="b">
        <v>0</v>
      </c>
      <c r="D11" s="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5" t="b">
        <v>0</v>
      </c>
      <c r="J11" s="17" t="b">
        <v>0</v>
      </c>
      <c r="K11" s="17" t="b">
        <v>0</v>
      </c>
      <c r="L11" s="17" t="b">
        <v>0</v>
      </c>
      <c r="M11" s="17" t="b">
        <v>0</v>
      </c>
      <c r="N11" s="17" t="b">
        <v>0</v>
      </c>
      <c r="O11" s="17" t="b">
        <v>0</v>
      </c>
      <c r="P11" s="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0"/>
        <v>0</v>
      </c>
      <c r="AJ11" s="1">
        <f t="shared" si="1"/>
        <v>32</v>
      </c>
      <c r="AK11" s="4" t="str">
        <f t="shared" si="2"/>
        <v/>
      </c>
      <c r="AL11" s="4"/>
      <c r="AM11" s="4"/>
      <c r="AN11" s="4"/>
    </row>
    <row r="12" spans="1:40" ht="12.75" x14ac:dyDescent="0.2">
      <c r="A12" s="1">
        <v>9</v>
      </c>
      <c r="B12" s="1" t="s">
        <v>56</v>
      </c>
      <c r="C12" s="12" t="b">
        <v>0</v>
      </c>
      <c r="D12" s="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5" t="b">
        <v>0</v>
      </c>
      <c r="J12" s="17" t="b">
        <v>0</v>
      </c>
      <c r="K12" s="17" t="b">
        <v>0</v>
      </c>
      <c r="L12" s="17" t="b">
        <v>0</v>
      </c>
      <c r="M12" s="17" t="b">
        <v>0</v>
      </c>
      <c r="N12" s="17" t="b">
        <v>0</v>
      </c>
      <c r="O12" s="17" t="b">
        <v>0</v>
      </c>
      <c r="P12" s="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0"/>
        <v>0</v>
      </c>
      <c r="AJ12" s="1">
        <f t="shared" si="1"/>
        <v>32</v>
      </c>
      <c r="AK12" s="4" t="str">
        <f t="shared" si="2"/>
        <v/>
      </c>
      <c r="AL12" s="4"/>
      <c r="AM12" s="4"/>
      <c r="AN12" s="4"/>
    </row>
    <row r="13" spans="1:40" ht="12.75" x14ac:dyDescent="0.2">
      <c r="A13" s="1">
        <v>10</v>
      </c>
      <c r="B13" s="1" t="s">
        <v>58</v>
      </c>
      <c r="C13" s="12" t="b">
        <v>0</v>
      </c>
      <c r="D13" s="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5" t="b">
        <v>0</v>
      </c>
      <c r="J13" s="17" t="b">
        <v>0</v>
      </c>
      <c r="K13" s="17" t="b">
        <v>0</v>
      </c>
      <c r="L13" s="17" t="b">
        <v>0</v>
      </c>
      <c r="M13" s="17" t="b">
        <v>0</v>
      </c>
      <c r="N13" s="17" t="b">
        <v>0</v>
      </c>
      <c r="O13" s="17" t="b">
        <v>0</v>
      </c>
      <c r="P13" s="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0"/>
        <v>0</v>
      </c>
      <c r="AJ13" s="1">
        <f t="shared" si="1"/>
        <v>32</v>
      </c>
      <c r="AK13" s="4" t="str">
        <f t="shared" si="2"/>
        <v/>
      </c>
      <c r="AL13" s="4"/>
      <c r="AM13" s="4"/>
      <c r="AN13" s="4"/>
    </row>
    <row r="14" spans="1:40" ht="12.75" x14ac:dyDescent="0.2">
      <c r="A14" s="5">
        <v>11</v>
      </c>
      <c r="B14" s="5" t="s">
        <v>59</v>
      </c>
      <c r="C14" s="9" t="b">
        <v>0</v>
      </c>
      <c r="D14" s="9" t="b">
        <v>0</v>
      </c>
      <c r="E14" s="23" t="b">
        <v>0</v>
      </c>
      <c r="F14" s="23" t="b">
        <v>0</v>
      </c>
      <c r="G14" s="23" t="b">
        <v>0</v>
      </c>
      <c r="H14" s="23" t="b">
        <v>0</v>
      </c>
      <c r="I14" s="9" t="b">
        <v>0</v>
      </c>
      <c r="J14" s="23" t="b">
        <v>0</v>
      </c>
      <c r="K14" s="23" t="b">
        <v>0</v>
      </c>
      <c r="L14" s="23" t="b">
        <v>0</v>
      </c>
      <c r="M14" s="23" t="b">
        <v>0</v>
      </c>
      <c r="N14" s="23" t="b">
        <v>0</v>
      </c>
      <c r="O14" s="23" t="b">
        <v>0</v>
      </c>
      <c r="P14" s="9" t="b">
        <v>0</v>
      </c>
      <c r="Q14" s="23" t="b">
        <v>0</v>
      </c>
      <c r="R14" s="23" t="b">
        <v>0</v>
      </c>
      <c r="S14" s="23" t="b">
        <v>0</v>
      </c>
      <c r="T14" s="23" t="b">
        <v>0</v>
      </c>
      <c r="U14" s="23" t="b">
        <v>0</v>
      </c>
      <c r="V14" s="23" t="b">
        <v>0</v>
      </c>
      <c r="W14" s="23" t="b">
        <v>0</v>
      </c>
      <c r="X14" s="23" t="b">
        <v>0</v>
      </c>
      <c r="Y14" s="23" t="b">
        <v>0</v>
      </c>
      <c r="Z14" s="23" t="b">
        <v>0</v>
      </c>
      <c r="AA14" s="23" t="b">
        <v>0</v>
      </c>
      <c r="AB14" s="23" t="b">
        <v>0</v>
      </c>
      <c r="AC14" s="25" t="b">
        <v>1</v>
      </c>
      <c r="AD14" s="25" t="b">
        <v>1</v>
      </c>
      <c r="AE14" s="25" t="b">
        <v>1</v>
      </c>
      <c r="AF14" s="25" t="b">
        <v>1</v>
      </c>
      <c r="AG14" s="25" t="b">
        <v>1</v>
      </c>
      <c r="AH14" s="25" t="b">
        <v>1</v>
      </c>
      <c r="AI14" s="27">
        <f t="shared" si="0"/>
        <v>6</v>
      </c>
      <c r="AJ14" s="1">
        <f t="shared" si="1"/>
        <v>26</v>
      </c>
      <c r="AK14" s="4" t="str">
        <f t="shared" si="2"/>
        <v/>
      </c>
      <c r="AL14" s="4"/>
      <c r="AM14" s="4"/>
      <c r="AN14" s="4"/>
    </row>
    <row r="15" spans="1:40" ht="12.75" x14ac:dyDescent="0.2">
      <c r="A15" s="1">
        <v>12</v>
      </c>
      <c r="B15" s="1" t="s">
        <v>60</v>
      </c>
      <c r="C15" s="12" t="b">
        <v>0</v>
      </c>
      <c r="D15" s="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0"/>
        <v>0</v>
      </c>
      <c r="AJ15" s="1">
        <f t="shared" si="1"/>
        <v>32</v>
      </c>
      <c r="AK15" s="4" t="str">
        <f t="shared" si="2"/>
        <v/>
      </c>
      <c r="AL15" s="4"/>
      <c r="AM15" s="4"/>
      <c r="AN15" s="4"/>
    </row>
    <row r="16" spans="1:40" ht="12.75" x14ac:dyDescent="0.2">
      <c r="A16" s="1">
        <v>13</v>
      </c>
      <c r="B16" s="30" t="s">
        <v>62</v>
      </c>
      <c r="C16" s="12" t="b">
        <v>0</v>
      </c>
      <c r="D16" s="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2" t="b">
        <v>0</v>
      </c>
      <c r="AG16" s="12" t="b">
        <v>0</v>
      </c>
      <c r="AH16" s="12" t="b">
        <v>0</v>
      </c>
      <c r="AI16" s="4">
        <f t="shared" si="0"/>
        <v>0</v>
      </c>
      <c r="AJ16" s="1">
        <f t="shared" si="1"/>
        <v>32</v>
      </c>
      <c r="AK16" s="4" t="str">
        <f t="shared" si="2"/>
        <v/>
      </c>
      <c r="AL16" s="4"/>
      <c r="AM16" s="4"/>
      <c r="AN16" s="4"/>
    </row>
    <row r="17" spans="1:40" ht="12.75" x14ac:dyDescent="0.2">
      <c r="A17" s="1">
        <v>14</v>
      </c>
      <c r="B17" s="1" t="s">
        <v>70</v>
      </c>
      <c r="C17" s="12" t="b">
        <v>0</v>
      </c>
      <c r="D17" s="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5" t="b">
        <v>0</v>
      </c>
      <c r="J17" s="17" t="b">
        <v>0</v>
      </c>
      <c r="K17" s="17" t="b">
        <v>0</v>
      </c>
      <c r="L17" s="17" t="b">
        <v>0</v>
      </c>
      <c r="M17" s="17" t="b">
        <v>0</v>
      </c>
      <c r="N17" s="17" t="b">
        <v>0</v>
      </c>
      <c r="O17" s="17" t="b">
        <v>0</v>
      </c>
      <c r="P17" s="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0"/>
        <v>0</v>
      </c>
      <c r="AJ17" s="1">
        <f t="shared" si="1"/>
        <v>32</v>
      </c>
      <c r="AK17" s="4" t="str">
        <f t="shared" si="2"/>
        <v/>
      </c>
      <c r="AL17" s="4"/>
      <c r="AM17" s="4"/>
      <c r="AN17" s="4"/>
    </row>
    <row r="18" spans="1:40" ht="12.75" x14ac:dyDescent="0.2">
      <c r="A18" s="14">
        <v>15</v>
      </c>
      <c r="B18" s="14" t="s">
        <v>71</v>
      </c>
      <c r="C18" s="16" t="b">
        <v>0</v>
      </c>
      <c r="D18" s="21" t="b">
        <v>0</v>
      </c>
      <c r="E18" s="16" t="b">
        <v>0</v>
      </c>
      <c r="F18" s="16" t="b">
        <v>0</v>
      </c>
      <c r="G18" s="16" t="b">
        <v>0</v>
      </c>
      <c r="H18" s="16" t="b">
        <v>0</v>
      </c>
      <c r="I18" s="20" t="b">
        <v>0</v>
      </c>
      <c r="J18" s="32" t="b">
        <v>0</v>
      </c>
      <c r="K18" s="32" t="b">
        <v>0</v>
      </c>
      <c r="L18" s="32" t="b">
        <v>0</v>
      </c>
      <c r="M18" s="32" t="b">
        <v>0</v>
      </c>
      <c r="N18" s="32" t="b">
        <v>0</v>
      </c>
      <c r="O18" s="32" t="b">
        <v>0</v>
      </c>
      <c r="P18" s="21" t="b">
        <v>0</v>
      </c>
      <c r="Q18" s="16" t="b">
        <v>0</v>
      </c>
      <c r="R18" s="16" t="b">
        <v>0</v>
      </c>
      <c r="S18" s="16" t="b">
        <v>0</v>
      </c>
      <c r="T18" s="16" t="b">
        <v>0</v>
      </c>
      <c r="U18" s="16" t="b">
        <v>0</v>
      </c>
      <c r="V18" s="18" t="b">
        <v>0</v>
      </c>
      <c r="W18" s="18" t="b">
        <v>0</v>
      </c>
      <c r="X18" s="18" t="b">
        <v>0</v>
      </c>
      <c r="Y18" s="18" t="b">
        <v>0</v>
      </c>
      <c r="Z18" s="18" t="b">
        <v>0</v>
      </c>
      <c r="AA18" s="18" t="b">
        <v>0</v>
      </c>
      <c r="AB18" s="18" t="b">
        <v>0</v>
      </c>
      <c r="AC18" s="16" t="b">
        <v>0</v>
      </c>
      <c r="AD18" s="16" t="b">
        <v>0</v>
      </c>
      <c r="AE18" s="16" t="b">
        <v>0</v>
      </c>
      <c r="AF18" s="16" t="b">
        <v>0</v>
      </c>
      <c r="AG18" s="16" t="b">
        <v>0</v>
      </c>
      <c r="AH18" s="16" t="b">
        <v>0</v>
      </c>
      <c r="AI18" s="4">
        <f t="shared" si="0"/>
        <v>0</v>
      </c>
      <c r="AJ18" s="1">
        <f t="shared" si="1"/>
        <v>32</v>
      </c>
      <c r="AK18" s="4" t="str">
        <f t="shared" si="2"/>
        <v/>
      </c>
      <c r="AL18" s="4"/>
      <c r="AM18" s="4"/>
      <c r="AN18" s="4"/>
    </row>
    <row r="19" spans="1:40" ht="12.75" x14ac:dyDescent="0.2">
      <c r="A19" s="1">
        <v>16</v>
      </c>
      <c r="B19" s="1" t="s">
        <v>72</v>
      </c>
      <c r="C19" s="12" t="b">
        <v>0</v>
      </c>
      <c r="D19" s="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5" t="b">
        <v>0</v>
      </c>
      <c r="J19" s="17" t="b">
        <v>0</v>
      </c>
      <c r="K19" s="17" t="b">
        <v>0</v>
      </c>
      <c r="L19" s="17" t="b">
        <v>0</v>
      </c>
      <c r="M19" s="17" t="b">
        <v>0</v>
      </c>
      <c r="N19" s="17" t="b">
        <v>0</v>
      </c>
      <c r="O19" s="17" t="b">
        <v>0</v>
      </c>
      <c r="P19" s="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0"/>
        <v>0</v>
      </c>
      <c r="AJ19" s="1">
        <f t="shared" si="1"/>
        <v>32</v>
      </c>
      <c r="AK19" s="4" t="str">
        <f t="shared" si="2"/>
        <v/>
      </c>
      <c r="AL19" s="4"/>
      <c r="AM19" s="4"/>
      <c r="AN19" s="4"/>
    </row>
    <row r="20" spans="1:40" ht="12.75" x14ac:dyDescent="0.2">
      <c r="A20" s="1">
        <v>17</v>
      </c>
      <c r="B20" s="1" t="s">
        <v>73</v>
      </c>
      <c r="C20" s="12" t="b">
        <v>0</v>
      </c>
      <c r="D20" s="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5" t="b">
        <v>0</v>
      </c>
      <c r="J20" s="17" t="b">
        <v>0</v>
      </c>
      <c r="K20" s="17" t="b">
        <v>0</v>
      </c>
      <c r="L20" s="17" t="b">
        <v>0</v>
      </c>
      <c r="M20" s="17" t="b">
        <v>0</v>
      </c>
      <c r="N20" s="17" t="b">
        <v>0</v>
      </c>
      <c r="O20" s="17" t="b">
        <v>0</v>
      </c>
      <c r="P20" s="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2" t="b">
        <v>0</v>
      </c>
      <c r="AF20" s="12" t="b">
        <v>0</v>
      </c>
      <c r="AG20" s="12" t="b">
        <v>0</v>
      </c>
      <c r="AH20" s="12" t="b">
        <v>0</v>
      </c>
      <c r="AI20" s="4">
        <f t="shared" si="0"/>
        <v>0</v>
      </c>
      <c r="AJ20" s="1">
        <f t="shared" si="1"/>
        <v>32</v>
      </c>
      <c r="AK20" s="4" t="str">
        <f t="shared" si="2"/>
        <v/>
      </c>
      <c r="AL20" s="4"/>
      <c r="AM20" s="4"/>
      <c r="AN20" s="4"/>
    </row>
    <row r="21" spans="1:40" ht="12.75" x14ac:dyDescent="0.2">
      <c r="A21" s="1">
        <v>18</v>
      </c>
      <c r="B21" s="1" t="s">
        <v>74</v>
      </c>
      <c r="C21" s="12" t="b">
        <v>0</v>
      </c>
      <c r="D21" s="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5" t="b">
        <v>0</v>
      </c>
      <c r="J21" s="17" t="b">
        <v>0</v>
      </c>
      <c r="K21" s="17" t="b">
        <v>0</v>
      </c>
      <c r="L21" s="17" t="b">
        <v>0</v>
      </c>
      <c r="M21" s="17" t="b">
        <v>0</v>
      </c>
      <c r="N21" s="17" t="b">
        <v>0</v>
      </c>
      <c r="O21" s="17" t="b">
        <v>0</v>
      </c>
      <c r="P21" s="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0"/>
        <v>0</v>
      </c>
      <c r="AJ21" s="1">
        <f t="shared" si="1"/>
        <v>32</v>
      </c>
      <c r="AK21" s="4" t="str">
        <f t="shared" si="2"/>
        <v/>
      </c>
      <c r="AL21" s="4"/>
      <c r="AM21" s="4"/>
      <c r="AN21" s="1" t="s">
        <v>75</v>
      </c>
    </row>
    <row r="22" spans="1:40" ht="12.75" x14ac:dyDescent="0.2">
      <c r="A22" s="1">
        <v>19</v>
      </c>
      <c r="B22" s="4"/>
      <c r="C22" s="24" t="b">
        <v>0</v>
      </c>
      <c r="D22" s="33" t="b">
        <v>0</v>
      </c>
      <c r="E22" s="24" t="b">
        <v>0</v>
      </c>
      <c r="F22" s="24" t="b">
        <v>0</v>
      </c>
      <c r="G22" s="24" t="b">
        <v>0</v>
      </c>
      <c r="H22" s="24" t="b">
        <v>0</v>
      </c>
      <c r="I22" s="26" t="b">
        <v>0</v>
      </c>
      <c r="J22" s="26" t="b">
        <v>0</v>
      </c>
      <c r="K22" s="26" t="b">
        <v>0</v>
      </c>
      <c r="L22" s="26" t="b">
        <v>0</v>
      </c>
      <c r="M22" s="26" t="b">
        <v>0</v>
      </c>
      <c r="N22" s="26" t="b">
        <v>0</v>
      </c>
      <c r="O22" s="26" t="b">
        <v>0</v>
      </c>
      <c r="P22" s="33" t="b">
        <v>0</v>
      </c>
      <c r="Q22" s="24" t="b">
        <v>0</v>
      </c>
      <c r="R22" s="24" t="b">
        <v>0</v>
      </c>
      <c r="S22" s="24" t="b">
        <v>0</v>
      </c>
      <c r="T22" s="24" t="b">
        <v>0</v>
      </c>
      <c r="U22" s="24" t="b">
        <v>0</v>
      </c>
      <c r="V22" s="26" t="b">
        <v>0</v>
      </c>
      <c r="W22" s="26" t="b">
        <v>0</v>
      </c>
      <c r="X22" s="26" t="b">
        <v>0</v>
      </c>
      <c r="Y22" s="26" t="b">
        <v>0</v>
      </c>
      <c r="Z22" s="26" t="b">
        <v>0</v>
      </c>
      <c r="AA22" s="26" t="b">
        <v>0</v>
      </c>
      <c r="AB22" s="26" t="b">
        <v>0</v>
      </c>
      <c r="AC22" s="24" t="b">
        <v>0</v>
      </c>
      <c r="AD22" s="24" t="b">
        <v>0</v>
      </c>
      <c r="AE22" s="24" t="b">
        <v>0</v>
      </c>
      <c r="AF22" s="24" t="b">
        <v>0</v>
      </c>
      <c r="AG22" s="24" t="b">
        <v>0</v>
      </c>
      <c r="AH22" s="24" t="b">
        <v>0</v>
      </c>
      <c r="AI22" s="4">
        <f t="shared" si="0"/>
        <v>0</v>
      </c>
      <c r="AJ22" s="1">
        <f t="shared" si="1"/>
        <v>32</v>
      </c>
      <c r="AK22" s="4" t="str">
        <f t="shared" si="2"/>
        <v/>
      </c>
    </row>
    <row r="23" spans="1:40" ht="12.75" x14ac:dyDescent="0.2">
      <c r="A23" s="1">
        <v>20</v>
      </c>
      <c r="B23" s="4"/>
      <c r="C23" s="24" t="b">
        <v>0</v>
      </c>
      <c r="D23" s="33" t="b">
        <v>0</v>
      </c>
      <c r="E23" s="24" t="b">
        <v>0</v>
      </c>
      <c r="F23" s="24" t="b">
        <v>0</v>
      </c>
      <c r="G23" s="24" t="b">
        <v>0</v>
      </c>
      <c r="H23" s="24" t="b">
        <v>0</v>
      </c>
      <c r="I23" s="26" t="b">
        <v>0</v>
      </c>
      <c r="J23" s="26" t="b">
        <v>0</v>
      </c>
      <c r="K23" s="26" t="b">
        <v>0</v>
      </c>
      <c r="L23" s="26" t="b">
        <v>0</v>
      </c>
      <c r="M23" s="26" t="b">
        <v>0</v>
      </c>
      <c r="N23" s="26" t="b">
        <v>0</v>
      </c>
      <c r="O23" s="26" t="b">
        <v>0</v>
      </c>
      <c r="P23" s="33" t="b">
        <v>0</v>
      </c>
      <c r="Q23" s="24" t="b">
        <v>0</v>
      </c>
      <c r="R23" s="24" t="b">
        <v>0</v>
      </c>
      <c r="S23" s="24" t="b">
        <v>0</v>
      </c>
      <c r="T23" s="24" t="b">
        <v>0</v>
      </c>
      <c r="U23" s="24" t="b">
        <v>0</v>
      </c>
      <c r="V23" s="26" t="b">
        <v>0</v>
      </c>
      <c r="W23" s="26" t="b">
        <v>0</v>
      </c>
      <c r="X23" s="26" t="b">
        <v>0</v>
      </c>
      <c r="Y23" s="26" t="b">
        <v>0</v>
      </c>
      <c r="Z23" s="26" t="b">
        <v>0</v>
      </c>
      <c r="AA23" s="26" t="b">
        <v>0</v>
      </c>
      <c r="AB23" s="26" t="b">
        <v>0</v>
      </c>
      <c r="AC23" s="24" t="b">
        <v>0</v>
      </c>
      <c r="AD23" s="24" t="b">
        <v>0</v>
      </c>
      <c r="AE23" s="24" t="b">
        <v>0</v>
      </c>
      <c r="AF23" s="24" t="b">
        <v>0</v>
      </c>
      <c r="AG23" s="24" t="b">
        <v>0</v>
      </c>
      <c r="AH23" s="24" t="b">
        <v>0</v>
      </c>
      <c r="AI23" s="4">
        <f t="shared" si="0"/>
        <v>0</v>
      </c>
      <c r="AJ23" s="1">
        <f t="shared" si="1"/>
        <v>32</v>
      </c>
      <c r="AK23" s="4" t="str">
        <f t="shared" si="2"/>
        <v/>
      </c>
    </row>
    <row r="25" spans="1:40" ht="49.5" customHeight="1" x14ac:dyDescent="0.2">
      <c r="B25" s="29" t="s">
        <v>61</v>
      </c>
      <c r="C25" s="40" t="s">
        <v>76</v>
      </c>
      <c r="D25" s="35"/>
      <c r="E25" s="35"/>
      <c r="F25" s="35"/>
      <c r="G25" s="35"/>
      <c r="H25" s="35"/>
      <c r="I25" s="40" t="s">
        <v>77</v>
      </c>
      <c r="J25" s="35"/>
      <c r="K25" s="35"/>
      <c r="L25" s="35"/>
      <c r="M25" s="35"/>
      <c r="N25" s="35"/>
      <c r="O25" s="35"/>
      <c r="P25" s="40" t="s">
        <v>76</v>
      </c>
      <c r="Q25" s="35"/>
      <c r="R25" s="35"/>
      <c r="S25" s="35"/>
      <c r="T25" s="35"/>
      <c r="U25" s="35"/>
      <c r="V25" s="40" t="s">
        <v>76</v>
      </c>
      <c r="W25" s="35"/>
      <c r="X25" s="35"/>
      <c r="Y25" s="35"/>
      <c r="Z25" s="35"/>
      <c r="AA25" s="35"/>
      <c r="AB25" s="35"/>
      <c r="AC25" s="40" t="s">
        <v>78</v>
      </c>
      <c r="AD25" s="35"/>
      <c r="AE25" s="35"/>
      <c r="AF25" s="35"/>
      <c r="AG25" s="35"/>
      <c r="AH25" s="35"/>
    </row>
  </sheetData>
  <mergeCells count="18">
    <mergeCell ref="A2:A3"/>
    <mergeCell ref="B2:B3"/>
    <mergeCell ref="A1:B1"/>
    <mergeCell ref="J1:P1"/>
    <mergeCell ref="Q1:W1"/>
    <mergeCell ref="X1:AD1"/>
    <mergeCell ref="AE1:AJ1"/>
    <mergeCell ref="V25:AB25"/>
    <mergeCell ref="AC25:AH25"/>
    <mergeCell ref="I2:O2"/>
    <mergeCell ref="P2:U2"/>
    <mergeCell ref="V2:AB2"/>
    <mergeCell ref="AC2:AH2"/>
    <mergeCell ref="C1:I1"/>
    <mergeCell ref="C2:H2"/>
    <mergeCell ref="C25:H25"/>
    <mergeCell ref="I25:O25"/>
    <mergeCell ref="P25:U25"/>
  </mergeCells>
  <phoneticPr fontId="4" type="noConversion"/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AN25"/>
  <sheetViews>
    <sheetView workbookViewId="0"/>
  </sheetViews>
  <sheetFormatPr defaultColWidth="12.5703125" defaultRowHeight="15.75" customHeight="1" x14ac:dyDescent="0.2"/>
  <cols>
    <col min="1" max="1" width="5.42578125" customWidth="1"/>
    <col min="2" max="2" width="7.85546875" customWidth="1"/>
    <col min="3" max="34" width="3.42578125" customWidth="1"/>
    <col min="35" max="36" width="6" customWidth="1"/>
    <col min="37" max="37" width="9.7109375" customWidth="1"/>
    <col min="38" max="40" width="6.85546875" customWidth="1"/>
  </cols>
  <sheetData>
    <row r="1" spans="1:40" ht="12.75" x14ac:dyDescent="0.2">
      <c r="A1" s="34" t="s">
        <v>79</v>
      </c>
      <c r="B1" s="35"/>
      <c r="C1" s="34"/>
      <c r="D1" s="35"/>
      <c r="E1" s="35"/>
      <c r="F1" s="35"/>
      <c r="G1" s="35"/>
      <c r="H1" s="35"/>
      <c r="I1" s="35"/>
      <c r="J1" s="34"/>
      <c r="K1" s="35"/>
      <c r="L1" s="35"/>
      <c r="M1" s="35"/>
      <c r="N1" s="35"/>
      <c r="O1" s="35"/>
      <c r="P1" s="35"/>
      <c r="Q1" s="34"/>
      <c r="R1" s="35"/>
      <c r="S1" s="35"/>
      <c r="T1" s="35"/>
      <c r="U1" s="35"/>
      <c r="V1" s="35"/>
      <c r="W1" s="35"/>
      <c r="X1" s="34"/>
      <c r="Y1" s="35"/>
      <c r="Z1" s="35"/>
      <c r="AA1" s="35"/>
      <c r="AB1" s="35"/>
      <c r="AC1" s="35"/>
      <c r="AD1" s="35"/>
      <c r="AE1" s="34"/>
      <c r="AF1" s="35"/>
      <c r="AG1" s="35"/>
      <c r="AH1" s="35"/>
      <c r="AI1" s="35"/>
      <c r="AJ1" s="35"/>
      <c r="AK1" s="1"/>
      <c r="AL1" s="1"/>
      <c r="AM1" s="1"/>
      <c r="AN1" s="1"/>
    </row>
    <row r="2" spans="1:40" ht="12.75" x14ac:dyDescent="0.2">
      <c r="A2" s="34" t="s">
        <v>3</v>
      </c>
      <c r="B2" s="34" t="s">
        <v>4</v>
      </c>
      <c r="C2" s="36" t="s">
        <v>5</v>
      </c>
      <c r="D2" s="35"/>
      <c r="E2" s="35"/>
      <c r="F2" s="35"/>
      <c r="G2" s="35"/>
      <c r="H2" s="35"/>
      <c r="I2" s="37" t="s">
        <v>7</v>
      </c>
      <c r="J2" s="35"/>
      <c r="K2" s="35"/>
      <c r="L2" s="35"/>
      <c r="M2" s="35"/>
      <c r="N2" s="35"/>
      <c r="O2" s="35"/>
      <c r="P2" s="36" t="s">
        <v>9</v>
      </c>
      <c r="Q2" s="35"/>
      <c r="R2" s="35"/>
      <c r="S2" s="35"/>
      <c r="T2" s="35"/>
      <c r="U2" s="35"/>
      <c r="V2" s="37" t="s">
        <v>10</v>
      </c>
      <c r="W2" s="35"/>
      <c r="X2" s="35"/>
      <c r="Y2" s="35"/>
      <c r="Z2" s="35"/>
      <c r="AA2" s="35"/>
      <c r="AB2" s="35"/>
      <c r="AC2" s="36" t="s">
        <v>12</v>
      </c>
      <c r="AD2" s="35"/>
      <c r="AE2" s="35"/>
      <c r="AF2" s="35"/>
      <c r="AG2" s="35"/>
      <c r="AH2" s="35"/>
      <c r="AI2" s="1"/>
      <c r="AJ2" s="1"/>
      <c r="AK2" s="1"/>
      <c r="AL2" s="1"/>
      <c r="AM2" s="1"/>
      <c r="AN2" s="1"/>
    </row>
    <row r="3" spans="1:40" ht="12.75" x14ac:dyDescent="0.2">
      <c r="A3" s="35"/>
      <c r="B3" s="35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3">
        <v>1</v>
      </c>
      <c r="J3" s="3">
        <v>2</v>
      </c>
      <c r="K3" s="3">
        <v>3</v>
      </c>
      <c r="L3" s="3">
        <v>4</v>
      </c>
      <c r="M3" s="3">
        <v>5</v>
      </c>
      <c r="N3" s="3">
        <v>6</v>
      </c>
      <c r="O3" s="3">
        <v>7</v>
      </c>
      <c r="P3" s="2">
        <v>1</v>
      </c>
      <c r="Q3" s="2">
        <v>2</v>
      </c>
      <c r="R3" s="2">
        <v>3</v>
      </c>
      <c r="S3" s="2">
        <v>4</v>
      </c>
      <c r="T3" s="2">
        <v>5</v>
      </c>
      <c r="U3" s="2">
        <v>6</v>
      </c>
      <c r="V3" s="3">
        <v>1</v>
      </c>
      <c r="W3" s="3">
        <v>2</v>
      </c>
      <c r="X3" s="3">
        <v>3</v>
      </c>
      <c r="Y3" s="3">
        <v>4</v>
      </c>
      <c r="Z3" s="3">
        <v>5</v>
      </c>
      <c r="AA3" s="3">
        <v>6</v>
      </c>
      <c r="AB3" s="3">
        <v>7</v>
      </c>
      <c r="AC3" s="2">
        <v>1</v>
      </c>
      <c r="AD3" s="2">
        <v>2</v>
      </c>
      <c r="AE3" s="2">
        <v>3</v>
      </c>
      <c r="AF3" s="2">
        <v>4</v>
      </c>
      <c r="AG3" s="2">
        <v>5</v>
      </c>
      <c r="AH3" s="2">
        <v>6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 spans="1:40" ht="12.75" x14ac:dyDescent="0.2">
      <c r="A4" s="5">
        <v>1</v>
      </c>
      <c r="B4" s="5" t="s">
        <v>84</v>
      </c>
      <c r="C4" s="7" t="b">
        <v>0</v>
      </c>
      <c r="D4" s="7" t="b">
        <v>0</v>
      </c>
      <c r="E4" s="8" t="b">
        <v>0</v>
      </c>
      <c r="F4" s="7" t="b">
        <v>0</v>
      </c>
      <c r="G4" s="7" t="b">
        <v>0</v>
      </c>
      <c r="H4" s="7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7" t="b">
        <v>0</v>
      </c>
      <c r="Q4" s="7" t="b">
        <v>0</v>
      </c>
      <c r="R4" s="7" t="b">
        <v>0</v>
      </c>
      <c r="S4" s="8" t="b">
        <v>0</v>
      </c>
      <c r="T4" s="7" t="b">
        <v>0</v>
      </c>
      <c r="U4" s="7" t="b">
        <v>0</v>
      </c>
      <c r="V4" s="10" t="b">
        <v>0</v>
      </c>
      <c r="W4" s="10" t="b">
        <v>0</v>
      </c>
      <c r="X4" s="10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8" t="b">
        <v>0</v>
      </c>
      <c r="AD4" s="8" t="b">
        <v>0</v>
      </c>
      <c r="AE4" s="8" t="b">
        <v>0</v>
      </c>
      <c r="AF4" s="7" t="b">
        <v>0</v>
      </c>
      <c r="AG4" s="8" t="b">
        <v>0</v>
      </c>
      <c r="AH4" s="8" t="b">
        <v>0</v>
      </c>
      <c r="AI4" s="4">
        <f t="shared" ref="AI4:AI23" si="0">COUNTIF(C4:AH4, TRUE)</f>
        <v>0</v>
      </c>
      <c r="AJ4" s="1">
        <f t="shared" ref="AJ4:AJ23" si="1">32-AI4</f>
        <v>32</v>
      </c>
      <c r="AK4" s="4" t="str">
        <f t="shared" ref="AK4:AK23" si="2">IF(AJ4 &lt; 32 * (2/3), "미이수", "")</f>
        <v/>
      </c>
      <c r="AL4" s="4"/>
      <c r="AM4" s="4"/>
      <c r="AN4" s="4"/>
    </row>
    <row r="5" spans="1:40" ht="12.75" x14ac:dyDescent="0.2">
      <c r="A5" s="1">
        <v>2</v>
      </c>
      <c r="B5" s="1" t="s">
        <v>86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0"/>
        <v>0</v>
      </c>
      <c r="AJ5" s="1">
        <f t="shared" si="1"/>
        <v>32</v>
      </c>
      <c r="AK5" s="4" t="str">
        <f t="shared" si="2"/>
        <v/>
      </c>
      <c r="AL5" s="4"/>
      <c r="AM5" s="4"/>
      <c r="AN5" s="4"/>
    </row>
    <row r="6" spans="1:40" ht="12.75" x14ac:dyDescent="0.2">
      <c r="A6" s="1">
        <v>3</v>
      </c>
      <c r="B6" s="1" t="s">
        <v>88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0"/>
        <v>0</v>
      </c>
      <c r="AJ6" s="1">
        <f t="shared" si="1"/>
        <v>32</v>
      </c>
      <c r="AK6" s="4" t="str">
        <f t="shared" si="2"/>
        <v/>
      </c>
      <c r="AL6" s="4"/>
      <c r="AM6" s="4"/>
      <c r="AN6" s="4"/>
    </row>
    <row r="7" spans="1:40" ht="12.75" x14ac:dyDescent="0.2">
      <c r="A7" s="1">
        <v>4</v>
      </c>
      <c r="B7" s="1" t="s">
        <v>90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0"/>
        <v>0</v>
      </c>
      <c r="AJ7" s="1">
        <f t="shared" si="1"/>
        <v>32</v>
      </c>
      <c r="AK7" s="4" t="str">
        <f t="shared" si="2"/>
        <v/>
      </c>
      <c r="AL7" s="4"/>
      <c r="AM7" s="4"/>
      <c r="AN7" s="4"/>
    </row>
    <row r="8" spans="1:40" ht="12.75" x14ac:dyDescent="0.2">
      <c r="A8" s="14">
        <v>5</v>
      </c>
      <c r="B8" s="14" t="s">
        <v>93</v>
      </c>
      <c r="C8" s="16" t="b">
        <v>0</v>
      </c>
      <c r="D8" s="16" t="b">
        <v>0</v>
      </c>
      <c r="E8" s="16" t="b">
        <v>0</v>
      </c>
      <c r="F8" s="16" t="b">
        <v>0</v>
      </c>
      <c r="G8" s="16" t="b">
        <v>0</v>
      </c>
      <c r="H8" s="16" t="b">
        <v>0</v>
      </c>
      <c r="I8" s="18" t="b">
        <v>0</v>
      </c>
      <c r="J8" s="18" t="b">
        <v>0</v>
      </c>
      <c r="K8" s="18" t="b">
        <v>0</v>
      </c>
      <c r="L8" s="18" t="b">
        <v>0</v>
      </c>
      <c r="M8" s="18" t="b">
        <v>0</v>
      </c>
      <c r="N8" s="18" t="b">
        <v>0</v>
      </c>
      <c r="O8" s="18" t="b">
        <v>0</v>
      </c>
      <c r="P8" s="16" t="b">
        <v>0</v>
      </c>
      <c r="Q8" s="16" t="b">
        <v>0</v>
      </c>
      <c r="R8" s="16" t="b">
        <v>0</v>
      </c>
      <c r="S8" s="16" t="b">
        <v>0</v>
      </c>
      <c r="T8" s="16" t="b">
        <v>0</v>
      </c>
      <c r="U8" s="16" t="b">
        <v>0</v>
      </c>
      <c r="V8" s="18" t="b">
        <v>0</v>
      </c>
      <c r="W8" s="18" t="b">
        <v>0</v>
      </c>
      <c r="X8" s="18" t="b">
        <v>0</v>
      </c>
      <c r="Y8" s="18" t="b">
        <v>0</v>
      </c>
      <c r="Z8" s="18" t="b">
        <v>0</v>
      </c>
      <c r="AA8" s="18" t="b">
        <v>0</v>
      </c>
      <c r="AB8" s="18" t="b">
        <v>0</v>
      </c>
      <c r="AC8" s="16" t="b">
        <v>0</v>
      </c>
      <c r="AD8" s="16" t="b">
        <v>0</v>
      </c>
      <c r="AE8" s="16" t="b">
        <v>0</v>
      </c>
      <c r="AF8" s="16" t="b">
        <v>0</v>
      </c>
      <c r="AG8" s="16" t="b">
        <v>0</v>
      </c>
      <c r="AH8" s="16" t="b">
        <v>0</v>
      </c>
      <c r="AI8" s="4">
        <f t="shared" si="0"/>
        <v>0</v>
      </c>
      <c r="AJ8" s="1">
        <f t="shared" si="1"/>
        <v>32</v>
      </c>
      <c r="AK8" s="4" t="str">
        <f t="shared" si="2"/>
        <v/>
      </c>
      <c r="AL8" s="4"/>
      <c r="AM8" s="4"/>
      <c r="AN8" s="4"/>
    </row>
    <row r="9" spans="1:40" ht="12.75" x14ac:dyDescent="0.2">
      <c r="A9" s="1">
        <v>6</v>
      </c>
      <c r="B9" s="1" t="s">
        <v>96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0"/>
        <v>0</v>
      </c>
      <c r="AJ9" s="1">
        <f t="shared" si="1"/>
        <v>32</v>
      </c>
      <c r="AK9" s="4" t="str">
        <f t="shared" si="2"/>
        <v/>
      </c>
      <c r="AL9" s="4"/>
      <c r="AM9" s="4"/>
      <c r="AN9" s="4"/>
    </row>
    <row r="10" spans="1:40" ht="12.75" x14ac:dyDescent="0.2">
      <c r="A10" s="1">
        <v>7</v>
      </c>
      <c r="B10" s="1" t="s">
        <v>99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0"/>
        <v>0</v>
      </c>
      <c r="AJ10" s="1">
        <f t="shared" si="1"/>
        <v>32</v>
      </c>
      <c r="AK10" s="4" t="str">
        <f t="shared" si="2"/>
        <v/>
      </c>
      <c r="AL10" s="4"/>
      <c r="AM10" s="4"/>
      <c r="AN10" s="4"/>
    </row>
    <row r="11" spans="1:40" ht="12.75" x14ac:dyDescent="0.2">
      <c r="A11" s="1">
        <v>8</v>
      </c>
      <c r="B11" s="1" t="s">
        <v>101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0"/>
        <v>0</v>
      </c>
      <c r="AJ11" s="1">
        <f t="shared" si="1"/>
        <v>32</v>
      </c>
      <c r="AK11" s="4" t="str">
        <f t="shared" si="2"/>
        <v/>
      </c>
      <c r="AL11" s="4"/>
      <c r="AM11" s="4"/>
      <c r="AN11" s="4"/>
    </row>
    <row r="12" spans="1:40" ht="12.75" x14ac:dyDescent="0.2">
      <c r="A12" s="1">
        <v>9</v>
      </c>
      <c r="B12" s="1" t="s">
        <v>103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0"/>
        <v>0</v>
      </c>
      <c r="AJ12" s="1">
        <f t="shared" si="1"/>
        <v>32</v>
      </c>
      <c r="AK12" s="4" t="str">
        <f t="shared" si="2"/>
        <v/>
      </c>
      <c r="AL12" s="4"/>
      <c r="AM12" s="4"/>
      <c r="AN12" s="4"/>
    </row>
    <row r="13" spans="1:40" ht="12.75" x14ac:dyDescent="0.2">
      <c r="A13" s="1">
        <v>10</v>
      </c>
      <c r="B13" s="1" t="s">
        <v>107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0"/>
        <v>0</v>
      </c>
      <c r="AJ13" s="1">
        <f t="shared" si="1"/>
        <v>32</v>
      </c>
      <c r="AK13" s="4" t="str">
        <f t="shared" si="2"/>
        <v/>
      </c>
      <c r="AL13" s="4"/>
      <c r="AM13" s="4"/>
      <c r="AN13" s="4"/>
    </row>
    <row r="14" spans="1:40" ht="12.75" x14ac:dyDescent="0.2">
      <c r="A14" s="5">
        <v>11</v>
      </c>
      <c r="B14" s="5" t="s">
        <v>110</v>
      </c>
      <c r="C14" s="7" t="b">
        <v>1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0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7" t="b">
        <v>1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0"/>
        <v>2</v>
      </c>
      <c r="AJ14" s="1">
        <f t="shared" si="1"/>
        <v>30</v>
      </c>
      <c r="AK14" s="4" t="str">
        <f t="shared" si="2"/>
        <v/>
      </c>
      <c r="AL14" s="4"/>
      <c r="AM14" s="4"/>
      <c r="AN14" s="4"/>
    </row>
    <row r="15" spans="1:40" ht="12.75" x14ac:dyDescent="0.2">
      <c r="A15" s="1">
        <v>12</v>
      </c>
      <c r="B15" s="1" t="s">
        <v>113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0"/>
        <v>0</v>
      </c>
      <c r="AJ15" s="1">
        <f t="shared" si="1"/>
        <v>32</v>
      </c>
      <c r="AK15" s="4" t="str">
        <f t="shared" si="2"/>
        <v/>
      </c>
      <c r="AL15" s="4"/>
      <c r="AM15" s="4"/>
      <c r="AN15" s="4"/>
    </row>
    <row r="16" spans="1:40" ht="12.75" x14ac:dyDescent="0.2">
      <c r="A16" s="1">
        <v>13</v>
      </c>
      <c r="B16" s="1" t="s">
        <v>116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0"/>
        <v>0</v>
      </c>
      <c r="AJ16" s="1">
        <f t="shared" si="1"/>
        <v>32</v>
      </c>
      <c r="AK16" s="4" t="str">
        <f t="shared" si="2"/>
        <v/>
      </c>
      <c r="AL16" s="4"/>
      <c r="AM16" s="4"/>
      <c r="AN16" s="4"/>
    </row>
    <row r="17" spans="1:40" ht="12.75" x14ac:dyDescent="0.2">
      <c r="A17" s="1">
        <v>14</v>
      </c>
      <c r="B17" s="1" t="s">
        <v>119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0"/>
        <v>0</v>
      </c>
      <c r="AJ17" s="1">
        <f t="shared" si="1"/>
        <v>32</v>
      </c>
      <c r="AK17" s="4" t="str">
        <f t="shared" si="2"/>
        <v/>
      </c>
      <c r="AL17" s="4"/>
      <c r="AM17" s="4"/>
      <c r="AN17" s="4"/>
    </row>
    <row r="18" spans="1:40" ht="12.75" x14ac:dyDescent="0.2">
      <c r="A18" s="14">
        <v>15</v>
      </c>
      <c r="B18" s="14" t="s">
        <v>122</v>
      </c>
      <c r="C18" s="16" t="b">
        <v>0</v>
      </c>
      <c r="D18" s="16" t="b">
        <v>0</v>
      </c>
      <c r="E18" s="16" t="b">
        <v>0</v>
      </c>
      <c r="F18" s="16" t="b">
        <v>0</v>
      </c>
      <c r="G18" s="16" t="b">
        <v>0</v>
      </c>
      <c r="H18" s="16" t="b">
        <v>0</v>
      </c>
      <c r="I18" s="18" t="b">
        <v>0</v>
      </c>
      <c r="J18" s="18" t="b">
        <v>0</v>
      </c>
      <c r="K18" s="18" t="b">
        <v>0</v>
      </c>
      <c r="L18" s="18" t="b">
        <v>0</v>
      </c>
      <c r="M18" s="18" t="b">
        <v>0</v>
      </c>
      <c r="N18" s="18" t="b">
        <v>0</v>
      </c>
      <c r="O18" s="18" t="b">
        <v>0</v>
      </c>
      <c r="P18" s="16" t="b">
        <v>0</v>
      </c>
      <c r="Q18" s="16" t="b">
        <v>0</v>
      </c>
      <c r="R18" s="16" t="b">
        <v>0</v>
      </c>
      <c r="S18" s="16" t="b">
        <v>0</v>
      </c>
      <c r="T18" s="16" t="b">
        <v>0</v>
      </c>
      <c r="U18" s="16" t="b">
        <v>0</v>
      </c>
      <c r="V18" s="18" t="b">
        <v>0</v>
      </c>
      <c r="W18" s="18" t="b">
        <v>0</v>
      </c>
      <c r="X18" s="18" t="b">
        <v>0</v>
      </c>
      <c r="Y18" s="18" t="b">
        <v>0</v>
      </c>
      <c r="Z18" s="18" t="b">
        <v>0</v>
      </c>
      <c r="AA18" s="18" t="b">
        <v>0</v>
      </c>
      <c r="AB18" s="18" t="b">
        <v>0</v>
      </c>
      <c r="AC18" s="16" t="b">
        <v>0</v>
      </c>
      <c r="AD18" s="16" t="b">
        <v>0</v>
      </c>
      <c r="AE18" s="16" t="b">
        <v>0</v>
      </c>
      <c r="AF18" s="16" t="b">
        <v>0</v>
      </c>
      <c r="AG18" s="16" t="b">
        <v>0</v>
      </c>
      <c r="AH18" s="16" t="b">
        <v>0</v>
      </c>
      <c r="AI18" s="4">
        <f t="shared" si="0"/>
        <v>0</v>
      </c>
      <c r="AJ18" s="1">
        <f t="shared" si="1"/>
        <v>32</v>
      </c>
      <c r="AK18" s="4" t="str">
        <f t="shared" si="2"/>
        <v/>
      </c>
      <c r="AL18" s="4"/>
      <c r="AM18" s="4"/>
      <c r="AN18" s="4"/>
    </row>
    <row r="19" spans="1:40" ht="12.75" x14ac:dyDescent="0.2">
      <c r="A19" s="1">
        <v>16</v>
      </c>
      <c r="B19" s="1" t="s">
        <v>124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0"/>
        <v>0</v>
      </c>
      <c r="AJ19" s="1">
        <f t="shared" si="1"/>
        <v>32</v>
      </c>
      <c r="AK19" s="4" t="str">
        <f t="shared" si="2"/>
        <v/>
      </c>
      <c r="AL19" s="4"/>
      <c r="AM19" s="4"/>
      <c r="AN19" s="4"/>
    </row>
    <row r="20" spans="1:40" ht="12.75" x14ac:dyDescent="0.2">
      <c r="A20" s="1">
        <v>17</v>
      </c>
      <c r="B20" s="1" t="s">
        <v>126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0"/>
        <v>0</v>
      </c>
      <c r="AJ20" s="1">
        <f t="shared" si="1"/>
        <v>32</v>
      </c>
      <c r="AK20" s="4" t="str">
        <f t="shared" si="2"/>
        <v/>
      </c>
      <c r="AL20" s="4"/>
      <c r="AM20" s="4"/>
      <c r="AN20" s="4"/>
    </row>
    <row r="21" spans="1:40" ht="12.75" x14ac:dyDescent="0.2">
      <c r="A21" s="1">
        <v>18</v>
      </c>
      <c r="B21" s="1" t="s">
        <v>128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0"/>
        <v>0</v>
      </c>
      <c r="AJ21" s="1">
        <f t="shared" si="1"/>
        <v>32</v>
      </c>
      <c r="AK21" s="4" t="str">
        <f t="shared" si="2"/>
        <v/>
      </c>
      <c r="AL21" s="4"/>
      <c r="AM21" s="4"/>
      <c r="AN21" s="4"/>
    </row>
    <row r="22" spans="1:40" ht="12.75" x14ac:dyDescent="0.2">
      <c r="A22" s="1">
        <v>19</v>
      </c>
      <c r="B22" s="1"/>
      <c r="C22" s="24" t="b">
        <v>0</v>
      </c>
      <c r="D22" s="24" t="b">
        <v>0</v>
      </c>
      <c r="E22" s="24" t="b">
        <v>0</v>
      </c>
      <c r="F22" s="24" t="b">
        <v>0</v>
      </c>
      <c r="G22" s="24" t="b">
        <v>0</v>
      </c>
      <c r="H22" s="24" t="b">
        <v>0</v>
      </c>
      <c r="I22" s="26" t="b">
        <v>0</v>
      </c>
      <c r="J22" s="26" t="b">
        <v>0</v>
      </c>
      <c r="K22" s="26" t="b">
        <v>0</v>
      </c>
      <c r="L22" s="26" t="b">
        <v>0</v>
      </c>
      <c r="M22" s="26" t="b">
        <v>0</v>
      </c>
      <c r="N22" s="26" t="b">
        <v>0</v>
      </c>
      <c r="O22" s="26" t="b">
        <v>0</v>
      </c>
      <c r="P22" s="24" t="b">
        <v>0</v>
      </c>
      <c r="Q22" s="24" t="b">
        <v>0</v>
      </c>
      <c r="R22" s="24" t="b">
        <v>0</v>
      </c>
      <c r="S22" s="24" t="b">
        <v>0</v>
      </c>
      <c r="T22" s="24" t="b">
        <v>0</v>
      </c>
      <c r="U22" s="24" t="b">
        <v>0</v>
      </c>
      <c r="V22" s="26" t="b">
        <v>0</v>
      </c>
      <c r="W22" s="26" t="b">
        <v>0</v>
      </c>
      <c r="X22" s="26" t="b">
        <v>0</v>
      </c>
      <c r="Y22" s="26" t="b">
        <v>0</v>
      </c>
      <c r="Z22" s="26" t="b">
        <v>0</v>
      </c>
      <c r="AA22" s="26" t="b">
        <v>0</v>
      </c>
      <c r="AB22" s="26" t="b">
        <v>0</v>
      </c>
      <c r="AC22" s="24" t="b">
        <v>0</v>
      </c>
      <c r="AD22" s="24" t="b">
        <v>0</v>
      </c>
      <c r="AE22" s="24" t="b">
        <v>0</v>
      </c>
      <c r="AF22" s="24" t="b">
        <v>0</v>
      </c>
      <c r="AG22" s="24" t="b">
        <v>0</v>
      </c>
      <c r="AH22" s="24" t="b">
        <v>0</v>
      </c>
      <c r="AI22" s="4">
        <f t="shared" si="0"/>
        <v>0</v>
      </c>
      <c r="AJ22" s="1">
        <f t="shared" si="1"/>
        <v>32</v>
      </c>
      <c r="AK22" s="4" t="str">
        <f t="shared" si="2"/>
        <v/>
      </c>
    </row>
    <row r="23" spans="1:40" ht="12.75" x14ac:dyDescent="0.2">
      <c r="A23" s="1">
        <v>20</v>
      </c>
      <c r="B23" s="4"/>
      <c r="C23" s="24" t="b">
        <v>0</v>
      </c>
      <c r="D23" s="24" t="b">
        <v>0</v>
      </c>
      <c r="E23" s="24" t="b">
        <v>0</v>
      </c>
      <c r="F23" s="24" t="b">
        <v>0</v>
      </c>
      <c r="G23" s="24" t="b">
        <v>0</v>
      </c>
      <c r="H23" s="24" t="b">
        <v>0</v>
      </c>
      <c r="I23" s="26" t="b">
        <v>0</v>
      </c>
      <c r="J23" s="26" t="b">
        <v>0</v>
      </c>
      <c r="K23" s="26" t="b">
        <v>0</v>
      </c>
      <c r="L23" s="26" t="b">
        <v>0</v>
      </c>
      <c r="M23" s="26" t="b">
        <v>0</v>
      </c>
      <c r="N23" s="26" t="b">
        <v>0</v>
      </c>
      <c r="O23" s="26" t="b">
        <v>0</v>
      </c>
      <c r="P23" s="24" t="b">
        <v>0</v>
      </c>
      <c r="Q23" s="24" t="b">
        <v>0</v>
      </c>
      <c r="R23" s="24" t="b">
        <v>0</v>
      </c>
      <c r="S23" s="24" t="b">
        <v>0</v>
      </c>
      <c r="T23" s="24" t="b">
        <v>0</v>
      </c>
      <c r="U23" s="24" t="b">
        <v>0</v>
      </c>
      <c r="V23" s="26" t="b">
        <v>0</v>
      </c>
      <c r="W23" s="26" t="b">
        <v>0</v>
      </c>
      <c r="X23" s="26" t="b">
        <v>0</v>
      </c>
      <c r="Y23" s="26" t="b">
        <v>0</v>
      </c>
      <c r="Z23" s="26" t="b">
        <v>0</v>
      </c>
      <c r="AA23" s="26" t="b">
        <v>0</v>
      </c>
      <c r="AB23" s="26" t="b">
        <v>0</v>
      </c>
      <c r="AC23" s="24" t="b">
        <v>0</v>
      </c>
      <c r="AD23" s="24" t="b">
        <v>0</v>
      </c>
      <c r="AE23" s="24" t="b">
        <v>0</v>
      </c>
      <c r="AF23" s="24" t="b">
        <v>0</v>
      </c>
      <c r="AG23" s="24" t="b">
        <v>0</v>
      </c>
      <c r="AH23" s="24" t="b">
        <v>0</v>
      </c>
      <c r="AI23" s="4">
        <f t="shared" si="0"/>
        <v>0</v>
      </c>
      <c r="AJ23" s="1">
        <f t="shared" si="1"/>
        <v>32</v>
      </c>
      <c r="AK23" s="4" t="str">
        <f t="shared" si="2"/>
        <v/>
      </c>
    </row>
    <row r="25" spans="1:40" ht="49.5" customHeight="1" x14ac:dyDescent="0.2">
      <c r="B25" s="29" t="s">
        <v>61</v>
      </c>
      <c r="C25" s="39" t="s">
        <v>132</v>
      </c>
      <c r="D25" s="35"/>
      <c r="E25" s="35"/>
      <c r="F25" s="35"/>
      <c r="G25" s="35"/>
      <c r="H25" s="35"/>
      <c r="I25" s="39"/>
      <c r="J25" s="35"/>
      <c r="K25" s="35"/>
      <c r="L25" s="35"/>
      <c r="M25" s="35"/>
      <c r="N25" s="35"/>
      <c r="O25" s="35"/>
      <c r="P25" s="39"/>
      <c r="Q25" s="35"/>
      <c r="R25" s="35"/>
      <c r="S25" s="35"/>
      <c r="T25" s="35"/>
      <c r="U25" s="35"/>
      <c r="V25" s="39"/>
      <c r="W25" s="35"/>
      <c r="X25" s="35"/>
      <c r="Y25" s="35"/>
      <c r="Z25" s="35"/>
      <c r="AA25" s="35"/>
      <c r="AB25" s="35"/>
      <c r="AC25" s="39" t="s">
        <v>132</v>
      </c>
      <c r="AD25" s="35"/>
      <c r="AE25" s="35"/>
      <c r="AF25" s="35"/>
      <c r="AG25" s="35"/>
      <c r="AH25" s="35"/>
    </row>
  </sheetData>
  <mergeCells count="18">
    <mergeCell ref="A2:A3"/>
    <mergeCell ref="B2:B3"/>
    <mergeCell ref="A1:B1"/>
    <mergeCell ref="J1:P1"/>
    <mergeCell ref="Q1:W1"/>
    <mergeCell ref="X1:AD1"/>
    <mergeCell ref="AE1:AJ1"/>
    <mergeCell ref="V25:AB25"/>
    <mergeCell ref="AC25:AH25"/>
    <mergeCell ref="I2:O2"/>
    <mergeCell ref="P2:U2"/>
    <mergeCell ref="V2:AB2"/>
    <mergeCell ref="AC2:AH2"/>
    <mergeCell ref="C1:I1"/>
    <mergeCell ref="C2:H2"/>
    <mergeCell ref="C25:H25"/>
    <mergeCell ref="I25:O25"/>
    <mergeCell ref="P25:U25"/>
  </mergeCells>
  <phoneticPr fontId="4" type="noConversion"/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AN25"/>
  <sheetViews>
    <sheetView workbookViewId="0"/>
  </sheetViews>
  <sheetFormatPr defaultColWidth="12.5703125" defaultRowHeight="15.75" customHeight="1" x14ac:dyDescent="0.2"/>
  <cols>
    <col min="1" max="1" width="5.42578125" customWidth="1"/>
    <col min="2" max="2" width="7.85546875" customWidth="1"/>
    <col min="3" max="34" width="3.42578125" customWidth="1"/>
    <col min="35" max="36" width="6" customWidth="1"/>
    <col min="37" max="37" width="9.7109375" customWidth="1"/>
    <col min="38" max="40" width="6.85546875" customWidth="1"/>
  </cols>
  <sheetData>
    <row r="1" spans="1:40" ht="12.75" x14ac:dyDescent="0.2">
      <c r="A1" s="34" t="s">
        <v>80</v>
      </c>
      <c r="B1" s="35"/>
      <c r="C1" s="34"/>
      <c r="D1" s="35"/>
      <c r="E1" s="35"/>
      <c r="F1" s="35"/>
      <c r="G1" s="35"/>
      <c r="H1" s="35"/>
      <c r="I1" s="35"/>
      <c r="J1" s="34"/>
      <c r="K1" s="35"/>
      <c r="L1" s="35"/>
      <c r="M1" s="35"/>
      <c r="N1" s="35"/>
      <c r="O1" s="35"/>
      <c r="P1" s="35"/>
      <c r="Q1" s="34"/>
      <c r="R1" s="35"/>
      <c r="S1" s="35"/>
      <c r="T1" s="35"/>
      <c r="U1" s="35"/>
      <c r="V1" s="35"/>
      <c r="W1" s="35"/>
      <c r="X1" s="34"/>
      <c r="Y1" s="35"/>
      <c r="Z1" s="35"/>
      <c r="AA1" s="35"/>
      <c r="AB1" s="35"/>
      <c r="AC1" s="35"/>
      <c r="AD1" s="35"/>
      <c r="AE1" s="34"/>
      <c r="AF1" s="35"/>
      <c r="AG1" s="35"/>
      <c r="AH1" s="35"/>
      <c r="AI1" s="35"/>
      <c r="AJ1" s="35"/>
      <c r="AK1" s="1"/>
      <c r="AL1" s="1"/>
      <c r="AM1" s="1"/>
      <c r="AN1" s="1"/>
    </row>
    <row r="2" spans="1:40" ht="12.75" x14ac:dyDescent="0.2">
      <c r="A2" s="34" t="s">
        <v>3</v>
      </c>
      <c r="B2" s="34" t="s">
        <v>4</v>
      </c>
      <c r="C2" s="36" t="s">
        <v>5</v>
      </c>
      <c r="D2" s="35"/>
      <c r="E2" s="35"/>
      <c r="F2" s="35"/>
      <c r="G2" s="35"/>
      <c r="H2" s="35"/>
      <c r="I2" s="37" t="s">
        <v>7</v>
      </c>
      <c r="J2" s="35"/>
      <c r="K2" s="35"/>
      <c r="L2" s="35"/>
      <c r="M2" s="35"/>
      <c r="N2" s="35"/>
      <c r="O2" s="35"/>
      <c r="P2" s="36" t="s">
        <v>9</v>
      </c>
      <c r="Q2" s="35"/>
      <c r="R2" s="35"/>
      <c r="S2" s="35"/>
      <c r="T2" s="35"/>
      <c r="U2" s="35"/>
      <c r="V2" s="37" t="s">
        <v>10</v>
      </c>
      <c r="W2" s="35"/>
      <c r="X2" s="35"/>
      <c r="Y2" s="35"/>
      <c r="Z2" s="35"/>
      <c r="AA2" s="35"/>
      <c r="AB2" s="35"/>
      <c r="AC2" s="36" t="s">
        <v>81</v>
      </c>
      <c r="AD2" s="35"/>
      <c r="AE2" s="35"/>
      <c r="AF2" s="35"/>
      <c r="AG2" s="35"/>
      <c r="AH2" s="35"/>
      <c r="AI2" s="1"/>
      <c r="AJ2" s="1"/>
      <c r="AK2" s="1"/>
      <c r="AL2" s="1"/>
      <c r="AM2" s="1"/>
      <c r="AN2" s="1"/>
    </row>
    <row r="3" spans="1:40" ht="12.75" x14ac:dyDescent="0.2">
      <c r="A3" s="35"/>
      <c r="B3" s="35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3">
        <v>1</v>
      </c>
      <c r="J3" s="3">
        <v>2</v>
      </c>
      <c r="K3" s="3">
        <v>3</v>
      </c>
      <c r="L3" s="3">
        <v>4</v>
      </c>
      <c r="M3" s="3">
        <v>5</v>
      </c>
      <c r="N3" s="3">
        <v>6</v>
      </c>
      <c r="O3" s="3">
        <v>7</v>
      </c>
      <c r="P3" s="2">
        <v>1</v>
      </c>
      <c r="Q3" s="2">
        <v>2</v>
      </c>
      <c r="R3" s="2">
        <v>3</v>
      </c>
      <c r="S3" s="2">
        <v>4</v>
      </c>
      <c r="T3" s="2">
        <v>5</v>
      </c>
      <c r="U3" s="2">
        <v>6</v>
      </c>
      <c r="V3" s="3">
        <v>1</v>
      </c>
      <c r="W3" s="3">
        <v>2</v>
      </c>
      <c r="X3" s="3">
        <v>3</v>
      </c>
      <c r="Y3" s="3">
        <v>4</v>
      </c>
      <c r="Z3" s="3">
        <v>5</v>
      </c>
      <c r="AA3" s="3">
        <v>6</v>
      </c>
      <c r="AB3" s="3">
        <v>7</v>
      </c>
      <c r="AC3" s="2">
        <v>1</v>
      </c>
      <c r="AD3" s="2">
        <v>2</v>
      </c>
      <c r="AE3" s="2">
        <v>3</v>
      </c>
      <c r="AF3" s="2">
        <v>4</v>
      </c>
      <c r="AG3" s="2">
        <v>5</v>
      </c>
      <c r="AH3" s="2">
        <v>6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 spans="1:40" ht="12.75" x14ac:dyDescent="0.2">
      <c r="A4" s="5">
        <v>1</v>
      </c>
      <c r="B4" s="5" t="s">
        <v>82</v>
      </c>
      <c r="C4" s="7" t="b">
        <v>0</v>
      </c>
      <c r="D4" s="7" t="b">
        <v>0</v>
      </c>
      <c r="E4" s="8" t="b">
        <v>0</v>
      </c>
      <c r="F4" s="7" t="b">
        <v>0</v>
      </c>
      <c r="G4" s="7" t="b">
        <v>0</v>
      </c>
      <c r="H4" s="7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7" t="b">
        <v>0</v>
      </c>
      <c r="Q4" s="7" t="b">
        <v>0</v>
      </c>
      <c r="R4" s="7" t="b">
        <v>0</v>
      </c>
      <c r="S4" s="8" t="b">
        <v>0</v>
      </c>
      <c r="T4" s="7" t="b">
        <v>0</v>
      </c>
      <c r="U4" s="7" t="b">
        <v>0</v>
      </c>
      <c r="V4" s="10" t="b">
        <v>0</v>
      </c>
      <c r="W4" s="10" t="b">
        <v>0</v>
      </c>
      <c r="X4" s="10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7" t="b">
        <v>1</v>
      </c>
      <c r="AD4" s="7" t="b">
        <v>1</v>
      </c>
      <c r="AE4" s="7" t="b">
        <v>1</v>
      </c>
      <c r="AF4" s="7" t="b">
        <v>1</v>
      </c>
      <c r="AG4" s="7" t="b">
        <v>1</v>
      </c>
      <c r="AH4" s="7" t="b">
        <v>1</v>
      </c>
      <c r="AI4" s="4">
        <f t="shared" ref="AI4:AI23" si="0">COUNTIF(C4:AH4, TRUE)</f>
        <v>6</v>
      </c>
      <c r="AJ4" s="1">
        <f t="shared" ref="AJ4:AJ23" si="1">32-AI4</f>
        <v>26</v>
      </c>
      <c r="AK4" s="4" t="str">
        <f t="shared" ref="AK4:AK23" si="2">IF(AJ4 &lt; 32 * (2/3), "미이수", "")</f>
        <v/>
      </c>
      <c r="AL4" s="4"/>
      <c r="AM4" s="4"/>
      <c r="AN4" s="4"/>
    </row>
    <row r="5" spans="1:40" ht="12.75" x14ac:dyDescent="0.2">
      <c r="A5" s="1">
        <v>2</v>
      </c>
      <c r="B5" s="1" t="s">
        <v>87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0"/>
        <v>0</v>
      </c>
      <c r="AJ5" s="1">
        <f t="shared" si="1"/>
        <v>32</v>
      </c>
      <c r="AK5" s="4" t="str">
        <f t="shared" si="2"/>
        <v/>
      </c>
      <c r="AL5" s="4"/>
      <c r="AM5" s="4"/>
      <c r="AN5" s="4"/>
    </row>
    <row r="6" spans="1:40" ht="12.75" x14ac:dyDescent="0.2">
      <c r="A6" s="1">
        <v>3</v>
      </c>
      <c r="B6" s="1" t="s">
        <v>89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2" t="b">
        <v>1</v>
      </c>
      <c r="AD6" s="2" t="b">
        <v>1</v>
      </c>
      <c r="AE6" s="2" t="b">
        <v>1</v>
      </c>
      <c r="AF6" s="2" t="b">
        <v>1</v>
      </c>
      <c r="AG6" s="2" t="b">
        <v>1</v>
      </c>
      <c r="AH6" s="2" t="b">
        <v>1</v>
      </c>
      <c r="AI6" s="4">
        <f t="shared" si="0"/>
        <v>6</v>
      </c>
      <c r="AJ6" s="1">
        <f t="shared" si="1"/>
        <v>26</v>
      </c>
      <c r="AK6" s="4" t="str">
        <f t="shared" si="2"/>
        <v/>
      </c>
      <c r="AL6" s="4"/>
      <c r="AM6" s="4"/>
      <c r="AN6" s="4"/>
    </row>
    <row r="7" spans="1:40" ht="12.75" x14ac:dyDescent="0.2">
      <c r="A7" s="1">
        <v>4</v>
      </c>
      <c r="B7" s="1" t="s">
        <v>91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2" t="b">
        <v>1</v>
      </c>
      <c r="Q7" s="2" t="b">
        <v>1</v>
      </c>
      <c r="R7" s="2" t="b">
        <v>1</v>
      </c>
      <c r="S7" s="2" t="b">
        <v>1</v>
      </c>
      <c r="T7" s="2" t="b">
        <v>1</v>
      </c>
      <c r="U7" s="2" t="b">
        <v>1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0"/>
        <v>6</v>
      </c>
      <c r="AJ7" s="1">
        <f t="shared" si="1"/>
        <v>26</v>
      </c>
      <c r="AK7" s="4" t="str">
        <f t="shared" si="2"/>
        <v/>
      </c>
      <c r="AL7" s="4"/>
      <c r="AM7" s="4"/>
      <c r="AN7" s="4"/>
    </row>
    <row r="8" spans="1:40" ht="12.75" x14ac:dyDescent="0.2">
      <c r="A8" s="14">
        <v>5</v>
      </c>
      <c r="B8" s="14" t="s">
        <v>94</v>
      </c>
      <c r="C8" s="16" t="b">
        <v>0</v>
      </c>
      <c r="D8" s="16" t="b">
        <v>0</v>
      </c>
      <c r="E8" s="16" t="b">
        <v>0</v>
      </c>
      <c r="F8" s="16" t="b">
        <v>0</v>
      </c>
      <c r="G8" s="16" t="b">
        <v>0</v>
      </c>
      <c r="H8" s="16" t="b">
        <v>0</v>
      </c>
      <c r="I8" s="18" t="b">
        <v>0</v>
      </c>
      <c r="J8" s="18" t="b">
        <v>0</v>
      </c>
      <c r="K8" s="18" t="b">
        <v>0</v>
      </c>
      <c r="L8" s="18" t="b">
        <v>0</v>
      </c>
      <c r="M8" s="18" t="b">
        <v>0</v>
      </c>
      <c r="N8" s="18" t="b">
        <v>0</v>
      </c>
      <c r="O8" s="18" t="b">
        <v>0</v>
      </c>
      <c r="P8" s="16" t="b">
        <v>0</v>
      </c>
      <c r="Q8" s="16" t="b">
        <v>0</v>
      </c>
      <c r="R8" s="16" t="b">
        <v>0</v>
      </c>
      <c r="S8" s="16" t="b">
        <v>0</v>
      </c>
      <c r="T8" s="16" t="b">
        <v>0</v>
      </c>
      <c r="U8" s="16" t="b">
        <v>0</v>
      </c>
      <c r="V8" s="19" t="b">
        <v>0</v>
      </c>
      <c r="W8" s="18" t="b">
        <v>0</v>
      </c>
      <c r="X8" s="18" t="b">
        <v>0</v>
      </c>
      <c r="Y8" s="18" t="b">
        <v>0</v>
      </c>
      <c r="Z8" s="18" t="b">
        <v>0</v>
      </c>
      <c r="AA8" s="18" t="b">
        <v>0</v>
      </c>
      <c r="AB8" s="18" t="b">
        <v>0</v>
      </c>
      <c r="AC8" s="21" t="b">
        <v>0</v>
      </c>
      <c r="AD8" s="16" t="b">
        <v>0</v>
      </c>
      <c r="AE8" s="16" t="b">
        <v>0</v>
      </c>
      <c r="AF8" s="16" t="b">
        <v>0</v>
      </c>
      <c r="AG8" s="16" t="b">
        <v>0</v>
      </c>
      <c r="AH8" s="16" t="b">
        <v>0</v>
      </c>
      <c r="AI8" s="4">
        <f t="shared" si="0"/>
        <v>0</v>
      </c>
      <c r="AJ8" s="1">
        <f t="shared" si="1"/>
        <v>32</v>
      </c>
      <c r="AK8" s="4" t="str">
        <f t="shared" si="2"/>
        <v/>
      </c>
      <c r="AL8" s="4"/>
      <c r="AM8" s="4"/>
      <c r="AN8" s="4"/>
    </row>
    <row r="9" spans="1:40" ht="12.75" x14ac:dyDescent="0.2">
      <c r="A9" s="1">
        <v>6</v>
      </c>
      <c r="B9" s="1" t="s">
        <v>97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3" t="b">
        <v>1</v>
      </c>
      <c r="W9" s="3" t="b">
        <v>1</v>
      </c>
      <c r="X9" s="3" t="b">
        <v>1</v>
      </c>
      <c r="Y9" s="3" t="b">
        <v>1</v>
      </c>
      <c r="Z9" s="3" t="b">
        <v>1</v>
      </c>
      <c r="AA9" s="3" t="b">
        <v>1</v>
      </c>
      <c r="AB9" s="3" t="b">
        <v>1</v>
      </c>
      <c r="AC9" s="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0"/>
        <v>7</v>
      </c>
      <c r="AJ9" s="1">
        <f t="shared" si="1"/>
        <v>25</v>
      </c>
      <c r="AK9" s="4" t="str">
        <f t="shared" si="2"/>
        <v/>
      </c>
      <c r="AL9" s="4"/>
      <c r="AM9" s="4"/>
      <c r="AN9" s="4"/>
    </row>
    <row r="10" spans="1:40" ht="12.75" x14ac:dyDescent="0.2">
      <c r="A10" s="1">
        <v>7</v>
      </c>
      <c r="B10" s="1" t="s">
        <v>100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3" t="b">
        <v>1</v>
      </c>
      <c r="W10" s="3" t="b">
        <v>1</v>
      </c>
      <c r="X10" s="3" t="b">
        <v>1</v>
      </c>
      <c r="Y10" s="3" t="b">
        <v>1</v>
      </c>
      <c r="Z10" s="3" t="b">
        <v>1</v>
      </c>
      <c r="AA10" s="3" t="b">
        <v>1</v>
      </c>
      <c r="AB10" s="3" t="b">
        <v>1</v>
      </c>
      <c r="AC10" s="2" t="b">
        <v>0</v>
      </c>
      <c r="AD10" s="12" t="b">
        <v>0</v>
      </c>
      <c r="AE10" s="2" t="b">
        <v>0</v>
      </c>
      <c r="AF10" s="12" t="b">
        <v>0</v>
      </c>
      <c r="AG10" s="12" t="b">
        <v>0</v>
      </c>
      <c r="AH10" s="12" t="b">
        <v>0</v>
      </c>
      <c r="AI10" s="4">
        <f t="shared" si="0"/>
        <v>7</v>
      </c>
      <c r="AJ10" s="1">
        <f t="shared" si="1"/>
        <v>25</v>
      </c>
      <c r="AK10" s="4" t="str">
        <f t="shared" si="2"/>
        <v/>
      </c>
      <c r="AL10" s="4"/>
      <c r="AM10" s="4"/>
      <c r="AN10" s="4"/>
    </row>
    <row r="11" spans="1:40" ht="12.75" x14ac:dyDescent="0.2">
      <c r="A11" s="1">
        <v>8</v>
      </c>
      <c r="B11" s="1" t="s">
        <v>105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0"/>
        <v>0</v>
      </c>
      <c r="AJ11" s="1">
        <f t="shared" si="1"/>
        <v>32</v>
      </c>
      <c r="AK11" s="4" t="str">
        <f t="shared" si="2"/>
        <v/>
      </c>
      <c r="AL11" s="4"/>
      <c r="AM11" s="4"/>
      <c r="AN11" s="4"/>
    </row>
    <row r="12" spans="1:40" ht="12.75" x14ac:dyDescent="0.2">
      <c r="A12" s="1">
        <v>9</v>
      </c>
      <c r="B12" s="1" t="s">
        <v>109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0"/>
        <v>0</v>
      </c>
      <c r="AJ12" s="1">
        <f t="shared" si="1"/>
        <v>32</v>
      </c>
      <c r="AK12" s="4" t="str">
        <f t="shared" si="2"/>
        <v/>
      </c>
      <c r="AL12" s="4"/>
      <c r="AM12" s="4"/>
      <c r="AN12" s="4"/>
    </row>
    <row r="13" spans="1:40" ht="12.75" x14ac:dyDescent="0.2">
      <c r="A13" s="1">
        <v>10</v>
      </c>
      <c r="B13" s="1" t="s">
        <v>112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0"/>
        <v>0</v>
      </c>
      <c r="AJ13" s="1">
        <f t="shared" si="1"/>
        <v>32</v>
      </c>
      <c r="AK13" s="4" t="str">
        <f t="shared" si="2"/>
        <v/>
      </c>
      <c r="AL13" s="4"/>
      <c r="AM13" s="4"/>
      <c r="AN13" s="4"/>
    </row>
    <row r="14" spans="1:40" ht="12.75" x14ac:dyDescent="0.2">
      <c r="A14" s="5">
        <v>11</v>
      </c>
      <c r="B14" s="5" t="s">
        <v>114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10" t="b">
        <v>1</v>
      </c>
      <c r="W14" s="10" t="b">
        <v>1</v>
      </c>
      <c r="X14" s="10" t="b">
        <v>1</v>
      </c>
      <c r="Y14" s="10" t="b">
        <v>1</v>
      </c>
      <c r="Z14" s="10" t="b">
        <v>1</v>
      </c>
      <c r="AA14" s="10" t="b">
        <v>1</v>
      </c>
      <c r="AB14" s="10" t="b">
        <v>1</v>
      </c>
      <c r="AC14" s="7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0"/>
        <v>7</v>
      </c>
      <c r="AJ14" s="1">
        <f t="shared" si="1"/>
        <v>25</v>
      </c>
      <c r="AK14" s="4" t="str">
        <f t="shared" si="2"/>
        <v/>
      </c>
      <c r="AL14" s="4"/>
      <c r="AM14" s="4"/>
      <c r="AN14" s="4"/>
    </row>
    <row r="15" spans="1:40" ht="12.75" x14ac:dyDescent="0.2">
      <c r="A15" s="1">
        <v>12</v>
      </c>
      <c r="B15" s="1" t="s">
        <v>117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0"/>
        <v>0</v>
      </c>
      <c r="AJ15" s="1">
        <f t="shared" si="1"/>
        <v>32</v>
      </c>
      <c r="AK15" s="4" t="str">
        <f t="shared" si="2"/>
        <v/>
      </c>
      <c r="AL15" s="4"/>
      <c r="AM15" s="4"/>
      <c r="AN15" s="4"/>
    </row>
    <row r="16" spans="1:40" ht="12.75" x14ac:dyDescent="0.2">
      <c r="A16" s="1">
        <v>13</v>
      </c>
      <c r="B16" s="1" t="s">
        <v>120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0"/>
        <v>0</v>
      </c>
      <c r="AJ16" s="1">
        <f t="shared" si="1"/>
        <v>32</v>
      </c>
      <c r="AK16" s="4" t="str">
        <f t="shared" si="2"/>
        <v/>
      </c>
      <c r="AL16" s="4"/>
      <c r="AM16" s="4"/>
      <c r="AN16" s="4"/>
    </row>
    <row r="17" spans="1:40" ht="12.75" x14ac:dyDescent="0.2">
      <c r="A17" s="1">
        <v>14</v>
      </c>
      <c r="B17" s="1"/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0"/>
        <v>0</v>
      </c>
      <c r="AJ17" s="1">
        <f t="shared" si="1"/>
        <v>32</v>
      </c>
      <c r="AK17" s="4" t="str">
        <f t="shared" si="2"/>
        <v/>
      </c>
      <c r="AL17" s="4"/>
      <c r="AM17" s="4"/>
      <c r="AN17" s="4"/>
    </row>
    <row r="18" spans="1:40" ht="12.75" x14ac:dyDescent="0.2">
      <c r="A18" s="14">
        <v>15</v>
      </c>
      <c r="B18" s="14"/>
      <c r="C18" s="16" t="b">
        <v>0</v>
      </c>
      <c r="D18" s="16" t="b">
        <v>0</v>
      </c>
      <c r="E18" s="16" t="b">
        <v>0</v>
      </c>
      <c r="F18" s="16" t="b">
        <v>0</v>
      </c>
      <c r="G18" s="16" t="b">
        <v>0</v>
      </c>
      <c r="H18" s="16" t="b">
        <v>0</v>
      </c>
      <c r="I18" s="18" t="b">
        <v>0</v>
      </c>
      <c r="J18" s="18" t="b">
        <v>0</v>
      </c>
      <c r="K18" s="18" t="b">
        <v>0</v>
      </c>
      <c r="L18" s="18" t="b">
        <v>0</v>
      </c>
      <c r="M18" s="18" t="b">
        <v>0</v>
      </c>
      <c r="N18" s="18" t="b">
        <v>0</v>
      </c>
      <c r="O18" s="18" t="b">
        <v>0</v>
      </c>
      <c r="P18" s="16" t="b">
        <v>0</v>
      </c>
      <c r="Q18" s="16" t="b">
        <v>0</v>
      </c>
      <c r="R18" s="16" t="b">
        <v>0</v>
      </c>
      <c r="S18" s="16" t="b">
        <v>0</v>
      </c>
      <c r="T18" s="16" t="b">
        <v>0</v>
      </c>
      <c r="U18" s="16" t="b">
        <v>0</v>
      </c>
      <c r="V18" s="18" t="b">
        <v>0</v>
      </c>
      <c r="W18" s="18" t="b">
        <v>0</v>
      </c>
      <c r="X18" s="18" t="b">
        <v>0</v>
      </c>
      <c r="Y18" s="18" t="b">
        <v>0</v>
      </c>
      <c r="Z18" s="18" t="b">
        <v>0</v>
      </c>
      <c r="AA18" s="18" t="b">
        <v>0</v>
      </c>
      <c r="AB18" s="18" t="b">
        <v>0</v>
      </c>
      <c r="AC18" s="16" t="b">
        <v>0</v>
      </c>
      <c r="AD18" s="16" t="b">
        <v>0</v>
      </c>
      <c r="AE18" s="16" t="b">
        <v>0</v>
      </c>
      <c r="AF18" s="16" t="b">
        <v>0</v>
      </c>
      <c r="AG18" s="16" t="b">
        <v>0</v>
      </c>
      <c r="AH18" s="16" t="b">
        <v>0</v>
      </c>
      <c r="AI18" s="4">
        <f t="shared" si="0"/>
        <v>0</v>
      </c>
      <c r="AJ18" s="1">
        <f t="shared" si="1"/>
        <v>32</v>
      </c>
      <c r="AK18" s="4" t="str">
        <f t="shared" si="2"/>
        <v/>
      </c>
      <c r="AL18" s="4"/>
      <c r="AM18" s="4"/>
      <c r="AN18" s="4"/>
    </row>
    <row r="19" spans="1:40" ht="12.75" x14ac:dyDescent="0.2">
      <c r="A19" s="1">
        <v>16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0"/>
        <v>0</v>
      </c>
      <c r="AJ19" s="1">
        <f t="shared" si="1"/>
        <v>32</v>
      </c>
      <c r="AK19" s="4" t="str">
        <f t="shared" si="2"/>
        <v/>
      </c>
      <c r="AL19" s="4"/>
      <c r="AM19" s="4"/>
      <c r="AN19" s="4"/>
    </row>
    <row r="20" spans="1:40" ht="12.75" x14ac:dyDescent="0.2">
      <c r="A20" s="1">
        <v>17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0"/>
        <v>0</v>
      </c>
      <c r="AJ20" s="1">
        <f t="shared" si="1"/>
        <v>32</v>
      </c>
      <c r="AK20" s="4" t="str">
        <f t="shared" si="2"/>
        <v/>
      </c>
      <c r="AL20" s="4"/>
      <c r="AM20" s="4"/>
      <c r="AN20" s="4"/>
    </row>
    <row r="21" spans="1:40" ht="12.75" x14ac:dyDescent="0.2">
      <c r="A21" s="1">
        <v>18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0"/>
        <v>0</v>
      </c>
      <c r="AJ21" s="1">
        <f t="shared" si="1"/>
        <v>32</v>
      </c>
      <c r="AK21" s="4" t="str">
        <f t="shared" si="2"/>
        <v/>
      </c>
      <c r="AL21" s="4"/>
      <c r="AM21" s="4"/>
      <c r="AN21" s="4"/>
    </row>
    <row r="22" spans="1:40" ht="12.75" x14ac:dyDescent="0.2">
      <c r="A22" s="1">
        <v>19</v>
      </c>
      <c r="B22" s="4"/>
      <c r="C22" s="24" t="b">
        <v>0</v>
      </c>
      <c r="D22" s="24" t="b">
        <v>0</v>
      </c>
      <c r="E22" s="24" t="b">
        <v>0</v>
      </c>
      <c r="F22" s="24" t="b">
        <v>0</v>
      </c>
      <c r="G22" s="24" t="b">
        <v>0</v>
      </c>
      <c r="H22" s="24" t="b">
        <v>0</v>
      </c>
      <c r="I22" s="26" t="b">
        <v>0</v>
      </c>
      <c r="J22" s="26" t="b">
        <v>0</v>
      </c>
      <c r="K22" s="26" t="b">
        <v>0</v>
      </c>
      <c r="L22" s="26" t="b">
        <v>0</v>
      </c>
      <c r="M22" s="26" t="b">
        <v>0</v>
      </c>
      <c r="N22" s="26" t="b">
        <v>0</v>
      </c>
      <c r="O22" s="26" t="b">
        <v>0</v>
      </c>
      <c r="P22" s="24" t="b">
        <v>0</v>
      </c>
      <c r="Q22" s="24" t="b">
        <v>0</v>
      </c>
      <c r="R22" s="24" t="b">
        <v>0</v>
      </c>
      <c r="S22" s="24" t="b">
        <v>0</v>
      </c>
      <c r="T22" s="24" t="b">
        <v>0</v>
      </c>
      <c r="U22" s="24" t="b">
        <v>0</v>
      </c>
      <c r="V22" s="26" t="b">
        <v>0</v>
      </c>
      <c r="W22" s="26" t="b">
        <v>0</v>
      </c>
      <c r="X22" s="26" t="b">
        <v>0</v>
      </c>
      <c r="Y22" s="26" t="b">
        <v>0</v>
      </c>
      <c r="Z22" s="26" t="b">
        <v>0</v>
      </c>
      <c r="AA22" s="26" t="b">
        <v>0</v>
      </c>
      <c r="AB22" s="26" t="b">
        <v>0</v>
      </c>
      <c r="AC22" s="24" t="b">
        <v>0</v>
      </c>
      <c r="AD22" s="24" t="b">
        <v>0</v>
      </c>
      <c r="AE22" s="24" t="b">
        <v>0</v>
      </c>
      <c r="AF22" s="24" t="b">
        <v>0</v>
      </c>
      <c r="AG22" s="24" t="b">
        <v>0</v>
      </c>
      <c r="AH22" s="24" t="b">
        <v>0</v>
      </c>
      <c r="AI22" s="4">
        <f t="shared" si="0"/>
        <v>0</v>
      </c>
      <c r="AJ22" s="1">
        <f t="shared" si="1"/>
        <v>32</v>
      </c>
      <c r="AK22" s="4" t="str">
        <f t="shared" si="2"/>
        <v/>
      </c>
    </row>
    <row r="23" spans="1:40" ht="12.75" x14ac:dyDescent="0.2">
      <c r="A23" s="1">
        <v>20</v>
      </c>
      <c r="B23" s="4"/>
      <c r="C23" s="24" t="b">
        <v>0</v>
      </c>
      <c r="D23" s="24" t="b">
        <v>0</v>
      </c>
      <c r="E23" s="24" t="b">
        <v>0</v>
      </c>
      <c r="F23" s="24" t="b">
        <v>0</v>
      </c>
      <c r="G23" s="24" t="b">
        <v>0</v>
      </c>
      <c r="H23" s="24" t="b">
        <v>0</v>
      </c>
      <c r="I23" s="26" t="b">
        <v>0</v>
      </c>
      <c r="J23" s="26" t="b">
        <v>0</v>
      </c>
      <c r="K23" s="26" t="b">
        <v>0</v>
      </c>
      <c r="L23" s="26" t="b">
        <v>0</v>
      </c>
      <c r="M23" s="26" t="b">
        <v>0</v>
      </c>
      <c r="N23" s="26" t="b">
        <v>0</v>
      </c>
      <c r="O23" s="26" t="b">
        <v>0</v>
      </c>
      <c r="P23" s="24" t="b">
        <v>0</v>
      </c>
      <c r="Q23" s="24" t="b">
        <v>0</v>
      </c>
      <c r="R23" s="24" t="b">
        <v>0</v>
      </c>
      <c r="S23" s="24" t="b">
        <v>0</v>
      </c>
      <c r="T23" s="24" t="b">
        <v>0</v>
      </c>
      <c r="U23" s="24" t="b">
        <v>0</v>
      </c>
      <c r="V23" s="26" t="b">
        <v>0</v>
      </c>
      <c r="W23" s="26" t="b">
        <v>0</v>
      </c>
      <c r="X23" s="26" t="b">
        <v>0</v>
      </c>
      <c r="Y23" s="26" t="b">
        <v>0</v>
      </c>
      <c r="Z23" s="26" t="b">
        <v>0</v>
      </c>
      <c r="AA23" s="26" t="b">
        <v>0</v>
      </c>
      <c r="AB23" s="26" t="b">
        <v>0</v>
      </c>
      <c r="AC23" s="24" t="b">
        <v>0</v>
      </c>
      <c r="AD23" s="24" t="b">
        <v>0</v>
      </c>
      <c r="AE23" s="24" t="b">
        <v>0</v>
      </c>
      <c r="AF23" s="24" t="b">
        <v>0</v>
      </c>
      <c r="AG23" s="24" t="b">
        <v>0</v>
      </c>
      <c r="AH23" s="24" t="b">
        <v>0</v>
      </c>
      <c r="AI23" s="4">
        <f t="shared" si="0"/>
        <v>0</v>
      </c>
      <c r="AJ23" s="1">
        <f t="shared" si="1"/>
        <v>32</v>
      </c>
      <c r="AK23" s="4" t="str">
        <f t="shared" si="2"/>
        <v/>
      </c>
    </row>
    <row r="25" spans="1:40" ht="49.5" customHeight="1" x14ac:dyDescent="0.2">
      <c r="B25" s="29" t="s">
        <v>61</v>
      </c>
      <c r="C25" s="39"/>
      <c r="D25" s="35"/>
      <c r="E25" s="35"/>
      <c r="F25" s="35"/>
      <c r="G25" s="35"/>
      <c r="H25" s="35"/>
      <c r="I25" s="39"/>
      <c r="J25" s="35"/>
      <c r="K25" s="35"/>
      <c r="L25" s="35"/>
      <c r="M25" s="35"/>
      <c r="N25" s="35"/>
      <c r="O25" s="35"/>
      <c r="P25" s="39" t="s">
        <v>133</v>
      </c>
      <c r="Q25" s="35"/>
      <c r="R25" s="35"/>
      <c r="S25" s="35"/>
      <c r="T25" s="35"/>
      <c r="U25" s="35"/>
      <c r="V25" s="39" t="s">
        <v>134</v>
      </c>
      <c r="W25" s="35"/>
      <c r="X25" s="35"/>
      <c r="Y25" s="35"/>
      <c r="Z25" s="35"/>
      <c r="AA25" s="35"/>
      <c r="AB25" s="35"/>
      <c r="AC25" s="39" t="s">
        <v>135</v>
      </c>
      <c r="AD25" s="35"/>
      <c r="AE25" s="35"/>
      <c r="AF25" s="35"/>
      <c r="AG25" s="35"/>
      <c r="AH25" s="35"/>
    </row>
  </sheetData>
  <mergeCells count="18">
    <mergeCell ref="A2:A3"/>
    <mergeCell ref="B2:B3"/>
    <mergeCell ref="A1:B1"/>
    <mergeCell ref="J1:P1"/>
    <mergeCell ref="Q1:W1"/>
    <mergeCell ref="X1:AD1"/>
    <mergeCell ref="AE1:AJ1"/>
    <mergeCell ref="V25:AB25"/>
    <mergeCell ref="AC25:AH25"/>
    <mergeCell ref="I2:O2"/>
    <mergeCell ref="P2:U2"/>
    <mergeCell ref="V2:AB2"/>
    <mergeCell ref="AC2:AH2"/>
    <mergeCell ref="C1:I1"/>
    <mergeCell ref="C2:H2"/>
    <mergeCell ref="C25:H25"/>
    <mergeCell ref="I25:O25"/>
    <mergeCell ref="P25:U25"/>
  </mergeCells>
  <phoneticPr fontId="4" type="noConversion"/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AN25"/>
  <sheetViews>
    <sheetView tabSelected="1" workbookViewId="0">
      <selection activeCell="AH26" sqref="AH26"/>
    </sheetView>
  </sheetViews>
  <sheetFormatPr defaultColWidth="12.5703125" defaultRowHeight="15.75" customHeight="1" x14ac:dyDescent="0.2"/>
  <cols>
    <col min="1" max="1" width="5.42578125" customWidth="1"/>
    <col min="2" max="2" width="7.85546875" customWidth="1"/>
    <col min="3" max="34" width="3.42578125" customWidth="1"/>
    <col min="35" max="36" width="6" customWidth="1"/>
    <col min="37" max="37" width="9.7109375" customWidth="1"/>
    <col min="38" max="40" width="6.85546875" customWidth="1"/>
  </cols>
  <sheetData>
    <row r="1" spans="1:40" ht="12.75" x14ac:dyDescent="0.2">
      <c r="A1" s="34" t="s">
        <v>83</v>
      </c>
      <c r="B1" s="35"/>
      <c r="C1" s="34"/>
      <c r="D1" s="35"/>
      <c r="E1" s="35"/>
      <c r="F1" s="35"/>
      <c r="G1" s="35"/>
      <c r="H1" s="35"/>
      <c r="I1" s="35"/>
      <c r="J1" s="34"/>
      <c r="K1" s="35"/>
      <c r="L1" s="35"/>
      <c r="M1" s="35"/>
      <c r="N1" s="35"/>
      <c r="O1" s="35"/>
      <c r="P1" s="35"/>
      <c r="Q1" s="34"/>
      <c r="R1" s="35"/>
      <c r="S1" s="35"/>
      <c r="T1" s="35"/>
      <c r="U1" s="35"/>
      <c r="V1" s="35"/>
      <c r="W1" s="35"/>
      <c r="X1" s="34"/>
      <c r="Y1" s="35"/>
      <c r="Z1" s="35"/>
      <c r="AA1" s="35"/>
      <c r="AB1" s="35"/>
      <c r="AC1" s="35"/>
      <c r="AD1" s="35"/>
      <c r="AE1" s="34"/>
      <c r="AF1" s="35"/>
      <c r="AG1" s="35"/>
      <c r="AH1" s="35"/>
      <c r="AI1" s="35"/>
      <c r="AJ1" s="35"/>
      <c r="AK1" s="1"/>
      <c r="AL1" s="1"/>
      <c r="AM1" s="1"/>
      <c r="AN1" s="1"/>
    </row>
    <row r="2" spans="1:40" ht="12.75" x14ac:dyDescent="0.2">
      <c r="A2" s="34" t="s">
        <v>3</v>
      </c>
      <c r="B2" s="34" t="s">
        <v>4</v>
      </c>
      <c r="C2" s="36" t="s">
        <v>5</v>
      </c>
      <c r="D2" s="35"/>
      <c r="E2" s="35"/>
      <c r="F2" s="35"/>
      <c r="G2" s="35"/>
      <c r="H2" s="35"/>
      <c r="I2" s="37" t="s">
        <v>7</v>
      </c>
      <c r="J2" s="35"/>
      <c r="K2" s="35"/>
      <c r="L2" s="35"/>
      <c r="M2" s="35"/>
      <c r="N2" s="35"/>
      <c r="O2" s="35"/>
      <c r="P2" s="36" t="s">
        <v>9</v>
      </c>
      <c r="Q2" s="35"/>
      <c r="R2" s="35"/>
      <c r="S2" s="35"/>
      <c r="T2" s="35"/>
      <c r="U2" s="35"/>
      <c r="V2" s="37" t="s">
        <v>10</v>
      </c>
      <c r="W2" s="35"/>
      <c r="X2" s="35"/>
      <c r="Y2" s="35"/>
      <c r="Z2" s="35"/>
      <c r="AA2" s="35"/>
      <c r="AB2" s="35"/>
      <c r="AC2" s="36" t="s">
        <v>12</v>
      </c>
      <c r="AD2" s="35"/>
      <c r="AE2" s="35"/>
      <c r="AF2" s="35"/>
      <c r="AG2" s="35"/>
      <c r="AH2" s="35"/>
      <c r="AI2" s="1"/>
      <c r="AJ2" s="1"/>
      <c r="AK2" s="1"/>
      <c r="AL2" s="1"/>
      <c r="AM2" s="1"/>
      <c r="AN2" s="1"/>
    </row>
    <row r="3" spans="1:40" ht="12.75" x14ac:dyDescent="0.2">
      <c r="A3" s="35"/>
      <c r="B3" s="35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3">
        <v>1</v>
      </c>
      <c r="J3" s="3">
        <v>2</v>
      </c>
      <c r="K3" s="3">
        <v>3</v>
      </c>
      <c r="L3" s="3">
        <v>4</v>
      </c>
      <c r="M3" s="3">
        <v>5</v>
      </c>
      <c r="N3" s="3">
        <v>6</v>
      </c>
      <c r="O3" s="3">
        <v>7</v>
      </c>
      <c r="P3" s="2">
        <v>1</v>
      </c>
      <c r="Q3" s="2">
        <v>2</v>
      </c>
      <c r="R3" s="2">
        <v>3</v>
      </c>
      <c r="S3" s="2">
        <v>4</v>
      </c>
      <c r="T3" s="2">
        <v>5</v>
      </c>
      <c r="U3" s="2">
        <v>6</v>
      </c>
      <c r="V3" s="3">
        <v>1</v>
      </c>
      <c r="W3" s="3">
        <v>2</v>
      </c>
      <c r="X3" s="3">
        <v>3</v>
      </c>
      <c r="Y3" s="3">
        <v>4</v>
      </c>
      <c r="Z3" s="3">
        <v>5</v>
      </c>
      <c r="AA3" s="3">
        <v>6</v>
      </c>
      <c r="AB3" s="3">
        <v>7</v>
      </c>
      <c r="AC3" s="2">
        <v>1</v>
      </c>
      <c r="AD3" s="2">
        <v>2</v>
      </c>
      <c r="AE3" s="2">
        <v>3</v>
      </c>
      <c r="AF3" s="2">
        <v>4</v>
      </c>
      <c r="AG3" s="2">
        <v>5</v>
      </c>
      <c r="AH3" s="2">
        <v>6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 spans="1:40" ht="12.75" x14ac:dyDescent="0.2">
      <c r="A4" s="5">
        <v>1</v>
      </c>
      <c r="B4" s="5" t="s">
        <v>85</v>
      </c>
      <c r="C4" s="7" t="b">
        <v>0</v>
      </c>
      <c r="D4" s="7" t="b">
        <v>0</v>
      </c>
      <c r="E4" s="8" t="b">
        <v>0</v>
      </c>
      <c r="F4" s="7" t="b">
        <v>0</v>
      </c>
      <c r="G4" s="7" t="b">
        <v>0</v>
      </c>
      <c r="H4" s="7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7" t="b">
        <v>0</v>
      </c>
      <c r="Q4" s="7" t="b">
        <v>0</v>
      </c>
      <c r="R4" s="7" t="b">
        <v>0</v>
      </c>
      <c r="S4" s="8" t="b">
        <v>0</v>
      </c>
      <c r="T4" s="7" t="b">
        <v>0</v>
      </c>
      <c r="U4" s="7" t="b">
        <v>0</v>
      </c>
      <c r="V4" s="10" t="b">
        <v>0</v>
      </c>
      <c r="W4" s="10" t="b">
        <v>0</v>
      </c>
      <c r="X4" s="10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8" t="b">
        <v>0</v>
      </c>
      <c r="AD4" s="8" t="b">
        <v>0</v>
      </c>
      <c r="AE4" s="8" t="b">
        <v>0</v>
      </c>
      <c r="AF4" s="7" t="b">
        <v>0</v>
      </c>
      <c r="AG4" s="8" t="b">
        <v>0</v>
      </c>
      <c r="AH4" s="8" t="b">
        <v>0</v>
      </c>
      <c r="AI4" s="4">
        <f t="shared" ref="AI4:AI23" si="0">COUNTIF(C4:AH4, TRUE)</f>
        <v>0</v>
      </c>
      <c r="AJ4" s="1">
        <f t="shared" ref="AJ4:AJ23" si="1">32-AI4</f>
        <v>32</v>
      </c>
      <c r="AK4" s="4" t="str">
        <f t="shared" ref="AK4:AK23" si="2">IF(AJ4 &lt; 32 * (2/3), "미이수", "")</f>
        <v/>
      </c>
      <c r="AL4" s="4"/>
      <c r="AM4" s="4"/>
      <c r="AN4" s="4"/>
    </row>
    <row r="5" spans="1:40" ht="12.75" x14ac:dyDescent="0.2">
      <c r="A5" s="1">
        <v>2</v>
      </c>
      <c r="B5" s="1" t="s">
        <v>92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0"/>
        <v>0</v>
      </c>
      <c r="AJ5" s="1">
        <f t="shared" si="1"/>
        <v>32</v>
      </c>
      <c r="AK5" s="4" t="str">
        <f t="shared" si="2"/>
        <v/>
      </c>
      <c r="AL5" s="4"/>
      <c r="AM5" s="4"/>
      <c r="AN5" s="4"/>
    </row>
    <row r="6" spans="1:40" ht="12.75" x14ac:dyDescent="0.2">
      <c r="A6" s="1">
        <v>3</v>
      </c>
      <c r="B6" s="1" t="s">
        <v>95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0"/>
        <v>0</v>
      </c>
      <c r="AJ6" s="1">
        <f t="shared" si="1"/>
        <v>32</v>
      </c>
      <c r="AK6" s="4" t="str">
        <f t="shared" si="2"/>
        <v/>
      </c>
      <c r="AL6" s="4"/>
      <c r="AM6" s="4"/>
      <c r="AN6" s="4"/>
    </row>
    <row r="7" spans="1:40" ht="12.75" x14ac:dyDescent="0.2">
      <c r="A7" s="1">
        <v>4</v>
      </c>
      <c r="B7" s="1" t="s">
        <v>98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0"/>
        <v>0</v>
      </c>
      <c r="AJ7" s="1">
        <f t="shared" si="1"/>
        <v>32</v>
      </c>
      <c r="AK7" s="4" t="str">
        <f t="shared" si="2"/>
        <v/>
      </c>
      <c r="AL7" s="4"/>
      <c r="AM7" s="4"/>
      <c r="AN7" s="4"/>
    </row>
    <row r="8" spans="1:40" ht="12.75" x14ac:dyDescent="0.2">
      <c r="A8" s="14">
        <v>5</v>
      </c>
      <c r="B8" s="14" t="s">
        <v>102</v>
      </c>
      <c r="C8" s="16" t="b">
        <v>0</v>
      </c>
      <c r="D8" s="16" t="b">
        <v>0</v>
      </c>
      <c r="E8" s="16" t="b">
        <v>0</v>
      </c>
      <c r="F8" s="16" t="b">
        <v>0</v>
      </c>
      <c r="G8" s="16" t="b">
        <v>0</v>
      </c>
      <c r="H8" s="16" t="b">
        <v>0</v>
      </c>
      <c r="I8" s="18" t="b">
        <v>0</v>
      </c>
      <c r="J8" s="18" t="b">
        <v>0</v>
      </c>
      <c r="K8" s="18" t="b">
        <v>0</v>
      </c>
      <c r="L8" s="18" t="b">
        <v>0</v>
      </c>
      <c r="M8" s="18" t="b">
        <v>0</v>
      </c>
      <c r="N8" s="18" t="b">
        <v>0</v>
      </c>
      <c r="O8" s="18" t="b">
        <v>0</v>
      </c>
      <c r="P8" s="16" t="b">
        <v>0</v>
      </c>
      <c r="Q8" s="16" t="b">
        <v>0</v>
      </c>
      <c r="R8" s="16" t="b">
        <v>0</v>
      </c>
      <c r="S8" s="16" t="b">
        <v>0</v>
      </c>
      <c r="T8" s="16" t="b">
        <v>0</v>
      </c>
      <c r="U8" s="16" t="b">
        <v>0</v>
      </c>
      <c r="V8" s="18" t="b">
        <v>0</v>
      </c>
      <c r="W8" s="18" t="b">
        <v>0</v>
      </c>
      <c r="X8" s="18" t="b">
        <v>0</v>
      </c>
      <c r="Y8" s="18" t="b">
        <v>0</v>
      </c>
      <c r="Z8" s="18" t="b">
        <v>0</v>
      </c>
      <c r="AA8" s="18" t="b">
        <v>0</v>
      </c>
      <c r="AB8" s="18" t="b">
        <v>0</v>
      </c>
      <c r="AC8" s="16" t="b">
        <v>0</v>
      </c>
      <c r="AD8" s="16" t="b">
        <v>0</v>
      </c>
      <c r="AE8" s="16" t="b">
        <v>0</v>
      </c>
      <c r="AF8" s="16" t="b">
        <v>0</v>
      </c>
      <c r="AG8" s="16" t="b">
        <v>0</v>
      </c>
      <c r="AH8" s="16" t="b">
        <v>0</v>
      </c>
      <c r="AI8" s="4">
        <f t="shared" si="0"/>
        <v>0</v>
      </c>
      <c r="AJ8" s="1">
        <f t="shared" si="1"/>
        <v>32</v>
      </c>
      <c r="AK8" s="4" t="str">
        <f t="shared" si="2"/>
        <v/>
      </c>
      <c r="AL8" s="4"/>
      <c r="AM8" s="4"/>
      <c r="AN8" s="4"/>
    </row>
    <row r="9" spans="1:40" ht="12.75" x14ac:dyDescent="0.2">
      <c r="A9" s="1">
        <v>6</v>
      </c>
      <c r="B9" s="1" t="s">
        <v>104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0"/>
        <v>0</v>
      </c>
      <c r="AJ9" s="1">
        <f t="shared" si="1"/>
        <v>32</v>
      </c>
      <c r="AK9" s="4" t="str">
        <f t="shared" si="2"/>
        <v/>
      </c>
      <c r="AL9" s="4"/>
      <c r="AM9" s="4"/>
      <c r="AN9" s="4"/>
    </row>
    <row r="10" spans="1:40" ht="12.75" x14ac:dyDescent="0.2">
      <c r="A10" s="1">
        <v>7</v>
      </c>
      <c r="B10" s="1" t="s">
        <v>106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0"/>
        <v>0</v>
      </c>
      <c r="AJ10" s="1">
        <f t="shared" si="1"/>
        <v>32</v>
      </c>
      <c r="AK10" s="4" t="str">
        <f t="shared" si="2"/>
        <v/>
      </c>
      <c r="AL10" s="4"/>
      <c r="AM10" s="4"/>
      <c r="AN10" s="4"/>
    </row>
    <row r="11" spans="1:40" ht="12.75" x14ac:dyDescent="0.2">
      <c r="A11" s="1">
        <v>8</v>
      </c>
      <c r="B11" s="1" t="s">
        <v>108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0"/>
        <v>0</v>
      </c>
      <c r="AJ11" s="1">
        <f t="shared" si="1"/>
        <v>32</v>
      </c>
      <c r="AK11" s="4" t="str">
        <f t="shared" si="2"/>
        <v/>
      </c>
      <c r="AL11" s="4"/>
      <c r="AM11" s="4"/>
      <c r="AN11" s="4"/>
    </row>
    <row r="12" spans="1:40" ht="12.75" x14ac:dyDescent="0.2">
      <c r="A12" s="1">
        <v>9</v>
      </c>
      <c r="B12" s="1" t="s">
        <v>111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0"/>
        <v>0</v>
      </c>
      <c r="AJ12" s="1">
        <f t="shared" si="1"/>
        <v>32</v>
      </c>
      <c r="AK12" s="4" t="str">
        <f t="shared" si="2"/>
        <v/>
      </c>
      <c r="AL12" s="4"/>
      <c r="AM12" s="4"/>
      <c r="AN12" s="4"/>
    </row>
    <row r="13" spans="1:40" ht="12.75" x14ac:dyDescent="0.2">
      <c r="A13" s="1">
        <v>10</v>
      </c>
      <c r="B13" s="1" t="s">
        <v>115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0"/>
        <v>0</v>
      </c>
      <c r="AJ13" s="1">
        <f t="shared" si="1"/>
        <v>32</v>
      </c>
      <c r="AK13" s="4" t="str">
        <f t="shared" si="2"/>
        <v/>
      </c>
      <c r="AL13" s="4"/>
      <c r="AM13" s="4"/>
      <c r="AN13" s="4"/>
    </row>
    <row r="14" spans="1:40" ht="12.75" x14ac:dyDescent="0.2">
      <c r="A14" s="5">
        <v>11</v>
      </c>
      <c r="B14" s="5" t="s">
        <v>118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8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0"/>
        <v>0</v>
      </c>
      <c r="AJ14" s="1">
        <f t="shared" si="1"/>
        <v>32</v>
      </c>
      <c r="AK14" s="4" t="str">
        <f t="shared" si="2"/>
        <v/>
      </c>
      <c r="AL14" s="4"/>
      <c r="AM14" s="4"/>
      <c r="AN14" s="4"/>
    </row>
    <row r="15" spans="1:40" ht="12.75" x14ac:dyDescent="0.2">
      <c r="A15" s="1">
        <v>12</v>
      </c>
      <c r="B15" s="1" t="s">
        <v>121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0"/>
        <v>0</v>
      </c>
      <c r="AJ15" s="1">
        <f t="shared" si="1"/>
        <v>32</v>
      </c>
      <c r="AK15" s="4" t="str">
        <f t="shared" si="2"/>
        <v/>
      </c>
      <c r="AL15" s="4"/>
      <c r="AM15" s="4"/>
      <c r="AN15" s="4"/>
    </row>
    <row r="16" spans="1:40" ht="12.75" x14ac:dyDescent="0.2">
      <c r="A16" s="1">
        <v>13</v>
      </c>
      <c r="B16" s="1" t="s">
        <v>123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0"/>
        <v>0</v>
      </c>
      <c r="AJ16" s="1">
        <f t="shared" si="1"/>
        <v>32</v>
      </c>
      <c r="AK16" s="4" t="str">
        <f t="shared" si="2"/>
        <v/>
      </c>
      <c r="AL16" s="4"/>
      <c r="AM16" s="4"/>
      <c r="AN16" s="4"/>
    </row>
    <row r="17" spans="1:40" ht="12.75" x14ac:dyDescent="0.2">
      <c r="A17" s="1">
        <v>14</v>
      </c>
      <c r="B17" s="1" t="s">
        <v>125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0"/>
        <v>0</v>
      </c>
      <c r="AJ17" s="1">
        <f t="shared" si="1"/>
        <v>32</v>
      </c>
      <c r="AK17" s="4" t="str">
        <f t="shared" si="2"/>
        <v/>
      </c>
      <c r="AL17" s="4"/>
      <c r="AM17" s="4"/>
      <c r="AN17" s="4"/>
    </row>
    <row r="18" spans="1:40" ht="12.75" x14ac:dyDescent="0.2">
      <c r="A18" s="14">
        <v>15</v>
      </c>
      <c r="B18" s="14" t="s">
        <v>127</v>
      </c>
      <c r="C18" s="16" t="b">
        <v>0</v>
      </c>
      <c r="D18" s="16" t="b">
        <v>0</v>
      </c>
      <c r="E18" s="16" t="b">
        <v>0</v>
      </c>
      <c r="F18" s="16" t="b">
        <v>0</v>
      </c>
      <c r="G18" s="16" t="b">
        <v>0</v>
      </c>
      <c r="H18" s="16" t="b">
        <v>0</v>
      </c>
      <c r="I18" s="18" t="b">
        <v>0</v>
      </c>
      <c r="J18" s="18" t="b">
        <v>0</v>
      </c>
      <c r="K18" s="18" t="b">
        <v>0</v>
      </c>
      <c r="L18" s="18" t="b">
        <v>0</v>
      </c>
      <c r="M18" s="18" t="b">
        <v>0</v>
      </c>
      <c r="N18" s="18" t="b">
        <v>0</v>
      </c>
      <c r="O18" s="18" t="b">
        <v>0</v>
      </c>
      <c r="P18" s="16" t="b">
        <v>0</v>
      </c>
      <c r="Q18" s="16" t="b">
        <v>0</v>
      </c>
      <c r="R18" s="16" t="b">
        <v>0</v>
      </c>
      <c r="S18" s="16" t="b">
        <v>0</v>
      </c>
      <c r="T18" s="16" t="b">
        <v>0</v>
      </c>
      <c r="U18" s="16" t="b">
        <v>0</v>
      </c>
      <c r="V18" s="18" t="b">
        <v>0</v>
      </c>
      <c r="W18" s="18" t="b">
        <v>0</v>
      </c>
      <c r="X18" s="18" t="b">
        <v>0</v>
      </c>
      <c r="Y18" s="18" t="b">
        <v>0</v>
      </c>
      <c r="Z18" s="18" t="b">
        <v>0</v>
      </c>
      <c r="AA18" s="18" t="b">
        <v>0</v>
      </c>
      <c r="AB18" s="18" t="b">
        <v>0</v>
      </c>
      <c r="AC18" s="16" t="b">
        <v>0</v>
      </c>
      <c r="AD18" s="16" t="b">
        <v>0</v>
      </c>
      <c r="AE18" s="16" t="b">
        <v>0</v>
      </c>
      <c r="AF18" s="16" t="b">
        <v>0</v>
      </c>
      <c r="AG18" s="16" t="b">
        <v>0</v>
      </c>
      <c r="AH18" s="16" t="b">
        <v>0</v>
      </c>
      <c r="AI18" s="4">
        <f t="shared" si="0"/>
        <v>0</v>
      </c>
      <c r="AJ18" s="1">
        <f t="shared" si="1"/>
        <v>32</v>
      </c>
      <c r="AK18" s="4" t="str">
        <f t="shared" si="2"/>
        <v/>
      </c>
      <c r="AL18" s="4"/>
      <c r="AM18" s="4"/>
      <c r="AN18" s="4"/>
    </row>
    <row r="19" spans="1:40" ht="12.75" x14ac:dyDescent="0.2">
      <c r="A19" s="1">
        <v>16</v>
      </c>
      <c r="B19" s="1" t="s">
        <v>129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0"/>
        <v>0</v>
      </c>
      <c r="AJ19" s="1">
        <f t="shared" si="1"/>
        <v>32</v>
      </c>
      <c r="AK19" s="4" t="str">
        <f t="shared" si="2"/>
        <v/>
      </c>
      <c r="AL19" s="4"/>
      <c r="AM19" s="4"/>
      <c r="AN19" s="4"/>
    </row>
    <row r="20" spans="1:40" ht="12.75" x14ac:dyDescent="0.2">
      <c r="A20" s="1">
        <v>17</v>
      </c>
      <c r="B20" s="1" t="s">
        <v>130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0"/>
        <v>0</v>
      </c>
      <c r="AJ20" s="1">
        <f t="shared" si="1"/>
        <v>32</v>
      </c>
      <c r="AK20" s="4" t="str">
        <f t="shared" si="2"/>
        <v/>
      </c>
      <c r="AL20" s="4"/>
      <c r="AM20" s="4"/>
      <c r="AN20" s="4"/>
    </row>
    <row r="21" spans="1:40" ht="12.75" x14ac:dyDescent="0.2">
      <c r="A21" s="1">
        <v>18</v>
      </c>
      <c r="B21" s="1" t="s">
        <v>131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0"/>
        <v>0</v>
      </c>
      <c r="AJ21" s="1">
        <f t="shared" si="1"/>
        <v>32</v>
      </c>
      <c r="AK21" s="4" t="str">
        <f t="shared" si="2"/>
        <v/>
      </c>
      <c r="AL21" s="4"/>
      <c r="AM21" s="4"/>
      <c r="AN21" s="4"/>
    </row>
    <row r="22" spans="1:40" ht="12.75" x14ac:dyDescent="0.2">
      <c r="A22" s="1">
        <v>19</v>
      </c>
      <c r="B22" s="4"/>
      <c r="C22" s="24" t="b">
        <v>0</v>
      </c>
      <c r="D22" s="24" t="b">
        <v>0</v>
      </c>
      <c r="E22" s="24" t="b">
        <v>0</v>
      </c>
      <c r="F22" s="24" t="b">
        <v>0</v>
      </c>
      <c r="G22" s="24" t="b">
        <v>0</v>
      </c>
      <c r="H22" s="24" t="b">
        <v>0</v>
      </c>
      <c r="I22" s="26" t="b">
        <v>0</v>
      </c>
      <c r="J22" s="26" t="b">
        <v>0</v>
      </c>
      <c r="K22" s="26" t="b">
        <v>0</v>
      </c>
      <c r="L22" s="26" t="b">
        <v>0</v>
      </c>
      <c r="M22" s="26" t="b">
        <v>0</v>
      </c>
      <c r="N22" s="26" t="b">
        <v>0</v>
      </c>
      <c r="O22" s="26" t="b">
        <v>0</v>
      </c>
      <c r="P22" s="24" t="b">
        <v>0</v>
      </c>
      <c r="Q22" s="24" t="b">
        <v>0</v>
      </c>
      <c r="R22" s="24" t="b">
        <v>0</v>
      </c>
      <c r="S22" s="24" t="b">
        <v>0</v>
      </c>
      <c r="T22" s="24" t="b">
        <v>0</v>
      </c>
      <c r="U22" s="24" t="b">
        <v>0</v>
      </c>
      <c r="V22" s="26" t="b">
        <v>0</v>
      </c>
      <c r="W22" s="26" t="b">
        <v>0</v>
      </c>
      <c r="X22" s="26" t="b">
        <v>0</v>
      </c>
      <c r="Y22" s="26" t="b">
        <v>0</v>
      </c>
      <c r="Z22" s="26" t="b">
        <v>0</v>
      </c>
      <c r="AA22" s="26" t="b">
        <v>0</v>
      </c>
      <c r="AB22" s="26" t="b">
        <v>0</v>
      </c>
      <c r="AC22" s="24" t="b">
        <v>0</v>
      </c>
      <c r="AD22" s="24" t="b">
        <v>0</v>
      </c>
      <c r="AE22" s="24" t="b">
        <v>0</v>
      </c>
      <c r="AF22" s="24" t="b">
        <v>0</v>
      </c>
      <c r="AG22" s="24" t="b">
        <v>0</v>
      </c>
      <c r="AH22" s="24" t="b">
        <v>0</v>
      </c>
      <c r="AI22" s="4">
        <f t="shared" si="0"/>
        <v>0</v>
      </c>
      <c r="AJ22" s="1">
        <f t="shared" si="1"/>
        <v>32</v>
      </c>
      <c r="AK22" s="4" t="str">
        <f t="shared" si="2"/>
        <v/>
      </c>
    </row>
    <row r="23" spans="1:40" ht="12.75" x14ac:dyDescent="0.2">
      <c r="A23" s="1">
        <v>20</v>
      </c>
      <c r="B23" s="4"/>
      <c r="C23" s="24" t="b">
        <v>0</v>
      </c>
      <c r="D23" s="24" t="b">
        <v>0</v>
      </c>
      <c r="E23" s="24" t="b">
        <v>0</v>
      </c>
      <c r="F23" s="24" t="b">
        <v>0</v>
      </c>
      <c r="G23" s="24" t="b">
        <v>0</v>
      </c>
      <c r="H23" s="24" t="b">
        <v>0</v>
      </c>
      <c r="I23" s="26" t="b">
        <v>0</v>
      </c>
      <c r="J23" s="26" t="b">
        <v>0</v>
      </c>
      <c r="K23" s="26" t="b">
        <v>0</v>
      </c>
      <c r="L23" s="26" t="b">
        <v>0</v>
      </c>
      <c r="M23" s="26" t="b">
        <v>0</v>
      </c>
      <c r="N23" s="26" t="b">
        <v>0</v>
      </c>
      <c r="O23" s="26" t="b">
        <v>0</v>
      </c>
      <c r="P23" s="24" t="b">
        <v>0</v>
      </c>
      <c r="Q23" s="24" t="b">
        <v>0</v>
      </c>
      <c r="R23" s="24" t="b">
        <v>0</v>
      </c>
      <c r="S23" s="24" t="b">
        <v>0</v>
      </c>
      <c r="T23" s="24" t="b">
        <v>0</v>
      </c>
      <c r="U23" s="24" t="b">
        <v>0</v>
      </c>
      <c r="V23" s="26" t="b">
        <v>0</v>
      </c>
      <c r="W23" s="26" t="b">
        <v>0</v>
      </c>
      <c r="X23" s="26" t="b">
        <v>0</v>
      </c>
      <c r="Y23" s="26" t="b">
        <v>0</v>
      </c>
      <c r="Z23" s="26" t="b">
        <v>0</v>
      </c>
      <c r="AA23" s="26" t="b">
        <v>0</v>
      </c>
      <c r="AB23" s="26" t="b">
        <v>0</v>
      </c>
      <c r="AC23" s="24" t="b">
        <v>0</v>
      </c>
      <c r="AD23" s="24" t="b">
        <v>0</v>
      </c>
      <c r="AE23" s="24" t="b">
        <v>0</v>
      </c>
      <c r="AF23" s="24" t="b">
        <v>0</v>
      </c>
      <c r="AG23" s="24" t="b">
        <v>0</v>
      </c>
      <c r="AH23" s="24" t="b">
        <v>0</v>
      </c>
      <c r="AI23" s="4">
        <f t="shared" si="0"/>
        <v>0</v>
      </c>
      <c r="AJ23" s="1">
        <f t="shared" si="1"/>
        <v>32</v>
      </c>
      <c r="AK23" s="4" t="str">
        <f t="shared" si="2"/>
        <v/>
      </c>
    </row>
    <row r="25" spans="1:40" ht="49.5" customHeight="1" x14ac:dyDescent="0.2">
      <c r="B25" s="29" t="s">
        <v>61</v>
      </c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</sheetData>
  <mergeCells count="18">
    <mergeCell ref="A2:A3"/>
    <mergeCell ref="B2:B3"/>
    <mergeCell ref="A1:B1"/>
    <mergeCell ref="J1:P1"/>
    <mergeCell ref="Q1:W1"/>
    <mergeCell ref="X1:AD1"/>
    <mergeCell ref="AE1:AJ1"/>
    <mergeCell ref="V25:AB25"/>
    <mergeCell ref="AC25:AH25"/>
    <mergeCell ref="I2:O2"/>
    <mergeCell ref="P2:U2"/>
    <mergeCell ref="V2:AB2"/>
    <mergeCell ref="AC2:AH2"/>
    <mergeCell ref="C1:I1"/>
    <mergeCell ref="C2:H2"/>
    <mergeCell ref="C25:H25"/>
    <mergeCell ref="I25:O25"/>
    <mergeCell ref="P25:U25"/>
  </mergeCells>
  <phoneticPr fontId="4" type="noConversion"/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양식</vt:lpstr>
      <vt:lpstr>1기 자동차고 1반</vt:lpstr>
      <vt:lpstr>2기 자동차고 2반</vt:lpstr>
      <vt:lpstr>3기 전북인공지능고</vt:lpstr>
      <vt:lpstr>4기 덕암정보고</vt:lpstr>
      <vt:lpstr>5기 남원용성고</vt:lpstr>
      <vt:lpstr>6기 기계과 5반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2026-08-23T23:16:09Z</dcterms:modified>
</cp:coreProperties>
</file>